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2"/>
  <workbookPr/>
  <mc:AlternateContent xmlns:mc="http://schemas.openxmlformats.org/markup-compatibility/2006">
    <mc:Choice Requires="x15">
      <x15ac:absPath xmlns:x15ac="http://schemas.microsoft.com/office/spreadsheetml/2010/11/ac" url="/Users/macbookair/Desktop/"/>
    </mc:Choice>
  </mc:AlternateContent>
  <xr:revisionPtr revIDLastSave="0" documentId="13_ncr:1_{18346A81-C5B5-B945-AF6C-A37CF7573959}" xr6:coauthVersionLast="47" xr6:coauthVersionMax="47" xr10:uidLastSave="{00000000-0000-0000-0000-000000000000}"/>
  <bookViews>
    <workbookView xWindow="0" yWindow="660" windowWidth="29400" windowHeight="17500" tabRatio="500" activeTab="7" xr2:uid="{00000000-000D-0000-FFFF-FFFF00000000}"/>
  </bookViews>
  <sheets>
    <sheet name="README" sheetId="1" r:id="rId1"/>
    <sheet name="Countries" sheetId="2" r:id="rId2"/>
    <sheet name="Regions" sheetId="3" r:id="rId3"/>
    <sheet name="Cities" sheetId="4" r:id="rId4"/>
    <sheet name="Districts" sheetId="5" r:id="rId5"/>
    <sheet name="Telcos" sheetId="6" r:id="rId6"/>
    <sheet name="Currencies" sheetId="7" r:id="rId7"/>
    <sheet name="Config_Loader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2" i="8" l="1"/>
  <c r="B40" i="8"/>
  <c r="B33" i="8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" authorId="0" shapeId="0" xr:uid="{00000000-0006-0000-0100-000001000000}">
      <text>
        <r>
          <rPr>
            <sz val="10"/>
            <rFont val="Arial"/>
            <family val="2"/>
          </rPr>
          <t>Capitale politique = Yamoussoukro. Capitale economique = Abidjan.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500-000001000000}">
      <text>
        <r>
          <rPr>
            <sz val="10"/>
            <rFont val="Arial"/>
            <family val="2"/>
          </rPr>
          <t>Regex MSISDN au format international sans '+'. Source : Import_pays.xlsx + ARCEP CM + ARTCI + ARCEP BF + ARTP SN. Parts de marche : estimations 2024.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" authorId="0" shapeId="0" xr:uid="{00000000-0006-0000-0600-000001000000}">
      <text>
        <r>
          <rPr>
            <sz val="10"/>
            <rFont val="Arial"/>
            <family val="2"/>
          </rPr>
          <t>Taux de change indicatifs. XAF et XOF sont fixes a 1 EUR = 655.957 FCFA (parite fixe avec l'euro).</t>
        </r>
      </text>
    </comment>
  </commentList>
</comments>
</file>

<file path=xl/sharedStrings.xml><?xml version="1.0" encoding="utf-8"?>
<sst xmlns="http://schemas.openxmlformats.org/spreadsheetml/2006/main" count="1161" uniqueCount="678">
  <si>
    <t>Loader_Base_FinZuu</t>
  </si>
  <si>
    <t>Fichier de reference structure — Loader Module Collecte</t>
  </si>
  <si>
    <t>Auteur</t>
  </si>
  <si>
    <t>Kuate Abdel Yaniv (SDET FinZuu)</t>
  </si>
  <si>
    <t>Date</t>
  </si>
  <si>
    <t>2026-07-16</t>
  </si>
  <si>
    <t>Version</t>
  </si>
  <si>
    <t>v1.0</t>
  </si>
  <si>
    <t>Objectif</t>
  </si>
  <si>
    <t>Referentiel geographique + organisationnel pour alimenter le Loader</t>
  </si>
  <si>
    <t>Portee</t>
  </si>
  <si>
    <t>4 pays cibles : CM (Cameroun), CI (Cote d'Ivoire), BF (Burkina Faso), SN (Senegal)</t>
  </si>
  <si>
    <t>STRUCTURE DES FEUILLES</t>
  </si>
  <si>
    <t>Countries</t>
  </si>
  <si>
    <t>4 pays cibles avec metadata (monnaie, dial_code, TVA, fuseau)</t>
  </si>
  <si>
    <t>Regions</t>
  </si>
  <si>
    <t>Regions administratives officielles par pays (49 lignes)</t>
  </si>
  <si>
    <t>Cities</t>
  </si>
  <si>
    <t>Villes principales avec population et GPS (~50 villes)</t>
  </si>
  <si>
    <t>Districts</t>
  </si>
  <si>
    <t>Quartiers principaux pour capitales et grandes villes (~80 quartiers)</t>
  </si>
  <si>
    <t>Telcos</t>
  </si>
  <si>
    <t>Operateurs telco par pays avec regex MSISDN</t>
  </si>
  <si>
    <t>Currencies</t>
  </si>
  <si>
    <t>Monnaies XAF (BEAC) et XOF (BCEAO)</t>
  </si>
  <si>
    <t>Config_Loader</t>
  </si>
  <si>
    <t>Parametres du Loader : proportions boss, ratios, cadences</t>
  </si>
  <si>
    <t>LEGENDE COULEURS</t>
  </si>
  <si>
    <t>Bleu</t>
  </si>
  <si>
    <t>Valeur d'input (a remplir ou modifier par l'utilisateur)</t>
  </si>
  <si>
    <t>Noir</t>
  </si>
  <si>
    <t>Valeur derivee ou formule</t>
  </si>
  <si>
    <t>Jaune (fond)</t>
  </si>
  <si>
    <t>Cellule d'input critique (parametre a valider)</t>
  </si>
  <si>
    <t>REFERENCES / SOURCES</t>
  </si>
  <si>
    <t>Regions administratives</t>
  </si>
  <si>
    <t>INS Cameroun, INS-CI, INSD Burkina, ANSD Senegal (organismes officiels)</t>
  </si>
  <si>
    <t>Populations villes</t>
  </si>
  <si>
    <t>Recensement RGPH 2005 (CM) / RGPH 2014 (CI/BF/SN) — estimations 2024</t>
  </si>
  <si>
    <t>Coordonnees GPS</t>
  </si>
  <si>
    <t>OpenStreetMap Nominatim</t>
  </si>
  <si>
    <t>Telcos et regex MSISDN</t>
  </si>
  <si>
    <t>Import_pays.xlsx (source Yaniv) + ARCEP CM / ARTCI / ARCEP BF / ARTP SN</t>
  </si>
  <si>
    <t>Contraintes Loader</t>
  </si>
  <si>
    <t>Message WhatsApp JJ Bwanga 16/07/2026</t>
  </si>
  <si>
    <t>USAGE</t>
  </si>
  <si>
    <t>1</t>
  </si>
  <si>
    <t>Le Loader lit les feuilles Countries/Regions/Cities/Districts pour construire l'arbre geographique</t>
  </si>
  <si>
    <t>2</t>
  </si>
  <si>
    <t>Chaque IMF/Company creee est rattachee a une Region</t>
  </si>
  <si>
    <t>3</t>
  </si>
  <si>
    <t>Chaque Branche est rattachee a une Region</t>
  </si>
  <si>
    <t>4</t>
  </si>
  <si>
    <t>Chaque Agence est rattachee a une City</t>
  </si>
  <si>
    <t>5</t>
  </si>
  <si>
    <t>Chaque Kiosque est rattache a un District (quartier)</t>
  </si>
  <si>
    <t>6</t>
  </si>
  <si>
    <t>Les MSISDN sont generes selon le regex du pays cible</t>
  </si>
  <si>
    <t>7</t>
  </si>
  <si>
    <t>Config_Loader pilote les proportions et cadences (modifiable sans toucher au code)</t>
  </si>
  <si>
    <t>country_iso2</t>
  </si>
  <si>
    <t>country_name_fr</t>
  </si>
  <si>
    <t>country_name_en</t>
  </si>
  <si>
    <t>capital</t>
  </si>
  <si>
    <t>dial_code</t>
  </si>
  <si>
    <t>currency_iso</t>
  </si>
  <si>
    <t>currency_name</t>
  </si>
  <si>
    <t>tva_percent</t>
  </si>
  <si>
    <t>timezone</t>
  </si>
  <si>
    <t>region_africa</t>
  </si>
  <si>
    <t>regulator_telco</t>
  </si>
  <si>
    <t>regulator_finance</t>
  </si>
  <si>
    <t>CM</t>
  </si>
  <si>
    <t>Cameroun</t>
  </si>
  <si>
    <t>Cameroon</t>
  </si>
  <si>
    <t>Yaounde</t>
  </si>
  <si>
    <t>237</t>
  </si>
  <si>
    <t>XAF</t>
  </si>
  <si>
    <t>CFA Franc BEAC</t>
  </si>
  <si>
    <t>WAT (UTC+1)</t>
  </si>
  <si>
    <t>Middle Africa</t>
  </si>
  <si>
    <t>ART</t>
  </si>
  <si>
    <t>COBAC</t>
  </si>
  <si>
    <t>CI</t>
  </si>
  <si>
    <t>Cote d'Ivoire</t>
  </si>
  <si>
    <t>Ivory Coast</t>
  </si>
  <si>
    <t>Yamoussoukro</t>
  </si>
  <si>
    <t>225</t>
  </si>
  <si>
    <t>XOF</t>
  </si>
  <si>
    <t>CFA Franc BCEAO</t>
  </si>
  <si>
    <t>GMT (UTC+0)</t>
  </si>
  <si>
    <t>Western Africa</t>
  </si>
  <si>
    <t>ARTCI</t>
  </si>
  <si>
    <t>BCEAO</t>
  </si>
  <si>
    <t>BF</t>
  </si>
  <si>
    <t>Burkina Faso</t>
  </si>
  <si>
    <t>Ouagadougou</t>
  </si>
  <si>
    <t>226</t>
  </si>
  <si>
    <t>ARCEP-BF</t>
  </si>
  <si>
    <t>SN</t>
  </si>
  <si>
    <t>Senegal</t>
  </si>
  <si>
    <t>Dakar</t>
  </si>
  <si>
    <t>221</t>
  </si>
  <si>
    <t>ARTP</t>
  </si>
  <si>
    <t>region_id</t>
  </si>
  <si>
    <t>region_name</t>
  </si>
  <si>
    <t>region_capital</t>
  </si>
  <si>
    <t>population_est</t>
  </si>
  <si>
    <t>notes</t>
  </si>
  <si>
    <t>CM-01</t>
  </si>
  <si>
    <t>Adamaoua</t>
  </si>
  <si>
    <t>Ngaoundere</t>
  </si>
  <si>
    <t>Elevage extensif</t>
  </si>
  <si>
    <t>CM-02</t>
  </si>
  <si>
    <t>Centre</t>
  </si>
  <si>
    <t>Capitale politique</t>
  </si>
  <si>
    <t>CM-03</t>
  </si>
  <si>
    <t>Est</t>
  </si>
  <si>
    <t>Bertoua</t>
  </si>
  <si>
    <t>Foret dense</t>
  </si>
  <si>
    <t>CM-04</t>
  </si>
  <si>
    <t>Extreme-Nord</t>
  </si>
  <si>
    <t>Maroua</t>
  </si>
  <si>
    <t>Zone sahelienne</t>
  </si>
  <si>
    <t>CM-05</t>
  </si>
  <si>
    <t>Littoral</t>
  </si>
  <si>
    <t>Douala</t>
  </si>
  <si>
    <t>Capitale economique</t>
  </si>
  <si>
    <t>CM-06</t>
  </si>
  <si>
    <t>Nord</t>
  </si>
  <si>
    <t>Garoua</t>
  </si>
  <si>
    <t>Soudanien</t>
  </si>
  <si>
    <t>CM-07</t>
  </si>
  <si>
    <t>Nord-Ouest</t>
  </si>
  <si>
    <t>Bamenda</t>
  </si>
  <si>
    <t>Anglophone, agriculture</t>
  </si>
  <si>
    <t>CM-08</t>
  </si>
  <si>
    <t>Ouest</t>
  </si>
  <si>
    <t>Bafoussam</t>
  </si>
  <si>
    <t>Pays Bamileke, commerce</t>
  </si>
  <si>
    <t>CM-09</t>
  </si>
  <si>
    <t>Sud</t>
  </si>
  <si>
    <t>Ebolowa</t>
  </si>
  <si>
    <t>Foret, cacao</t>
  </si>
  <si>
    <t>CM-10</t>
  </si>
  <si>
    <t>Sud-Ouest</t>
  </si>
  <si>
    <t>Buea</t>
  </si>
  <si>
    <t>Anglophone, plantations</t>
  </si>
  <si>
    <t>CI-01</t>
  </si>
  <si>
    <t>District Autonome d'Abidjan</t>
  </si>
  <si>
    <t>Abidjan</t>
  </si>
  <si>
    <t>CI-02</t>
  </si>
  <si>
    <t>District Autonome de Yamoussoukro</t>
  </si>
  <si>
    <t>CI-03</t>
  </si>
  <si>
    <t>Bas-Sassandra</t>
  </si>
  <si>
    <t>San-Pedro</t>
  </si>
  <si>
    <t>Port cacao</t>
  </si>
  <si>
    <t>CI-04</t>
  </si>
  <si>
    <t>Comoe</t>
  </si>
  <si>
    <t>Abengourou</t>
  </si>
  <si>
    <t>Cacao</t>
  </si>
  <si>
    <t>CI-05</t>
  </si>
  <si>
    <t>Denguele</t>
  </si>
  <si>
    <t>Odienne</t>
  </si>
  <si>
    <t>Nord-ouest</t>
  </si>
  <si>
    <t>CI-06</t>
  </si>
  <si>
    <t>Goh-Djiboua</t>
  </si>
  <si>
    <t>Gagnoa</t>
  </si>
  <si>
    <t>CI-07</t>
  </si>
  <si>
    <t>Lacs</t>
  </si>
  <si>
    <t>Dimbokro</t>
  </si>
  <si>
    <t>CI-08</t>
  </si>
  <si>
    <t>Lagunes</t>
  </si>
  <si>
    <t>Dabou</t>
  </si>
  <si>
    <t>CI-09</t>
  </si>
  <si>
    <t>Montagnes</t>
  </si>
  <si>
    <t>Man</t>
  </si>
  <si>
    <t>CI-10</t>
  </si>
  <si>
    <t>Sassandra-Marahoue</t>
  </si>
  <si>
    <t>Daloa</t>
  </si>
  <si>
    <t>CI-11</t>
  </si>
  <si>
    <t>Savanes</t>
  </si>
  <si>
    <t>Korhogo</t>
  </si>
  <si>
    <t>Nord, coton</t>
  </si>
  <si>
    <t>CI-12</t>
  </si>
  <si>
    <t>Vallee du Bandama</t>
  </si>
  <si>
    <t>Bouake</t>
  </si>
  <si>
    <t>CI-13</t>
  </si>
  <si>
    <t>Woroba</t>
  </si>
  <si>
    <t>Seguela</t>
  </si>
  <si>
    <t>CI-14</t>
  </si>
  <si>
    <t>Zanzan</t>
  </si>
  <si>
    <t>Bondoukou</t>
  </si>
  <si>
    <t>BF-01</t>
  </si>
  <si>
    <t>Boucle du Mouhoun</t>
  </si>
  <si>
    <t>Dedougou</t>
  </si>
  <si>
    <t>BF-02</t>
  </si>
  <si>
    <t>Cascades</t>
  </si>
  <si>
    <t>Banfora</t>
  </si>
  <si>
    <t>Sud-ouest</t>
  </si>
  <si>
    <t>BF-03</t>
  </si>
  <si>
    <t>Capitale politique et economique</t>
  </si>
  <si>
    <t>BF-04</t>
  </si>
  <si>
    <t>Centre-Est</t>
  </si>
  <si>
    <t>Tenkodogo</t>
  </si>
  <si>
    <t>BF-05</t>
  </si>
  <si>
    <t>Centre-Nord</t>
  </si>
  <si>
    <t>Kaya</t>
  </si>
  <si>
    <t>BF-06</t>
  </si>
  <si>
    <t>Centre-Ouest</t>
  </si>
  <si>
    <t>Koudougou</t>
  </si>
  <si>
    <t>BF-07</t>
  </si>
  <si>
    <t>Centre-Sud</t>
  </si>
  <si>
    <t>Manga</t>
  </si>
  <si>
    <t>BF-08</t>
  </si>
  <si>
    <t>Fada N'gourma</t>
  </si>
  <si>
    <t>Contexte securitaire delicat</t>
  </si>
  <si>
    <t>BF-09</t>
  </si>
  <si>
    <t>Hauts-Bassins</t>
  </si>
  <si>
    <t>Bobo-Dioulasso</t>
  </si>
  <si>
    <t>2eme pole economique</t>
  </si>
  <si>
    <t>BF-10</t>
  </si>
  <si>
    <t>Ouahigouya</t>
  </si>
  <si>
    <t>BF-11</t>
  </si>
  <si>
    <t>Plateau-Central</t>
  </si>
  <si>
    <t>Ziniare</t>
  </si>
  <si>
    <t>BF-12</t>
  </si>
  <si>
    <t>Sahel</t>
  </si>
  <si>
    <t>Dori</t>
  </si>
  <si>
    <t>BF-13</t>
  </si>
  <si>
    <t>Gaoua</t>
  </si>
  <si>
    <t>SN-01</t>
  </si>
  <si>
    <t>Capitale, plus dense</t>
  </si>
  <si>
    <t>SN-02</t>
  </si>
  <si>
    <t>Diourbel</t>
  </si>
  <si>
    <t>Bassin arachidier</t>
  </si>
  <si>
    <t>SN-03</t>
  </si>
  <si>
    <t>Fatick</t>
  </si>
  <si>
    <t>SN-04</t>
  </si>
  <si>
    <t>Kaffrine</t>
  </si>
  <si>
    <t>SN-05</t>
  </si>
  <si>
    <t>Kaolack</t>
  </si>
  <si>
    <t>SN-06</t>
  </si>
  <si>
    <t>Kedougou</t>
  </si>
  <si>
    <t>Sud-est, mines</t>
  </si>
  <si>
    <t>SN-07</t>
  </si>
  <si>
    <t>Kolda</t>
  </si>
  <si>
    <t>Casamance</t>
  </si>
  <si>
    <t>SN-08</t>
  </si>
  <si>
    <t>Louga</t>
  </si>
  <si>
    <t>SN-09</t>
  </si>
  <si>
    <t>Matam</t>
  </si>
  <si>
    <t>SN-10</t>
  </si>
  <si>
    <t>Saint-Louis</t>
  </si>
  <si>
    <t>Nord, fleuve</t>
  </si>
  <si>
    <t>SN-11</t>
  </si>
  <si>
    <t>Sedhiou</t>
  </si>
  <si>
    <t>SN-12</t>
  </si>
  <si>
    <t>Tambacounda</t>
  </si>
  <si>
    <t>SN-13</t>
  </si>
  <si>
    <t>Thies</t>
  </si>
  <si>
    <t>2eme region</t>
  </si>
  <si>
    <t>SN-14</t>
  </si>
  <si>
    <t>Ziguinchor</t>
  </si>
  <si>
    <t>city_id</t>
  </si>
  <si>
    <t>city_name</t>
  </si>
  <si>
    <t>latitude</t>
  </si>
  <si>
    <t>longitude</t>
  </si>
  <si>
    <t>is_capital_country</t>
  </si>
  <si>
    <t>is_capital_region</t>
  </si>
  <si>
    <t>weight_economic</t>
  </si>
  <si>
    <t>CM-CT-01</t>
  </si>
  <si>
    <t>CM-CT-02</t>
  </si>
  <si>
    <t>CM-CT-03</t>
  </si>
  <si>
    <t>CM-CT-04</t>
  </si>
  <si>
    <t>CM-CT-05</t>
  </si>
  <si>
    <t>CM-CT-06</t>
  </si>
  <si>
    <t>CM-CT-07</t>
  </si>
  <si>
    <t>CM-CT-08</t>
  </si>
  <si>
    <t>CM-CT-09</t>
  </si>
  <si>
    <t>CM-CT-10</t>
  </si>
  <si>
    <t>Nkongsamba</t>
  </si>
  <si>
    <t>CM-CT-11</t>
  </si>
  <si>
    <t>Limbe</t>
  </si>
  <si>
    <t>CM-CT-12</t>
  </si>
  <si>
    <t>Kribi</t>
  </si>
  <si>
    <t>CI-CT-01</t>
  </si>
  <si>
    <t>CI-CT-02</t>
  </si>
  <si>
    <t>CI-CT-03</t>
  </si>
  <si>
    <t>CI-CT-04</t>
  </si>
  <si>
    <t>CI-CT-05</t>
  </si>
  <si>
    <t>CI-CT-06</t>
  </si>
  <si>
    <t>CI-CT-07</t>
  </si>
  <si>
    <t>CI-CT-08</t>
  </si>
  <si>
    <t>CI-CT-09</t>
  </si>
  <si>
    <t>CI-CT-10</t>
  </si>
  <si>
    <t>CI-CT-11</t>
  </si>
  <si>
    <t>CI-CT-12</t>
  </si>
  <si>
    <t>BF-CT-01</t>
  </si>
  <si>
    <t>BF-CT-02</t>
  </si>
  <si>
    <t>BF-CT-03</t>
  </si>
  <si>
    <t>BF-CT-04</t>
  </si>
  <si>
    <t>BF-CT-05</t>
  </si>
  <si>
    <t>BF-CT-06</t>
  </si>
  <si>
    <t>BF-CT-07</t>
  </si>
  <si>
    <t>BF-CT-08</t>
  </si>
  <si>
    <t>BF-CT-09</t>
  </si>
  <si>
    <t>BF-CT-10</t>
  </si>
  <si>
    <t>BF-CT-11</t>
  </si>
  <si>
    <t>BF-CT-12</t>
  </si>
  <si>
    <t>SN-CT-01</t>
  </si>
  <si>
    <t>SN-CT-02</t>
  </si>
  <si>
    <t>Pikine</t>
  </si>
  <si>
    <t>SN-CT-03</t>
  </si>
  <si>
    <t>Touba</t>
  </si>
  <si>
    <t>SN-CT-04</t>
  </si>
  <si>
    <t>Guediawaye</t>
  </si>
  <si>
    <t>SN-CT-05</t>
  </si>
  <si>
    <t>SN-CT-06</t>
  </si>
  <si>
    <t>SN-CT-07</t>
  </si>
  <si>
    <t>Mbour</t>
  </si>
  <si>
    <t>SN-CT-08</t>
  </si>
  <si>
    <t>Rufisque</t>
  </si>
  <si>
    <t>SN-CT-09</t>
  </si>
  <si>
    <t>SN-CT-10</t>
  </si>
  <si>
    <t>SN-CT-11</t>
  </si>
  <si>
    <t>SN-CT-12</t>
  </si>
  <si>
    <t>SN-CT-13</t>
  </si>
  <si>
    <t>SN-CT-14</t>
  </si>
  <si>
    <t>district_id</t>
  </si>
  <si>
    <t>district_name</t>
  </si>
  <si>
    <t>zone_type</t>
  </si>
  <si>
    <t>CM-DT-001</t>
  </si>
  <si>
    <t>Bastos</t>
  </si>
  <si>
    <t>residential</t>
  </si>
  <si>
    <t>Ambassades, aise</t>
  </si>
  <si>
    <t>CM-DT-002</t>
  </si>
  <si>
    <t>Nlongkak</t>
  </si>
  <si>
    <t>mixte</t>
  </si>
  <si>
    <t>CM-DT-003</t>
  </si>
  <si>
    <t>Mvog-Mbi</t>
  </si>
  <si>
    <t>commercial</t>
  </si>
  <si>
    <t>CM-DT-004</t>
  </si>
  <si>
    <t>Mvan</t>
  </si>
  <si>
    <t>CM-DT-005</t>
  </si>
  <si>
    <t>Elig-Essono</t>
  </si>
  <si>
    <t>CM-DT-006</t>
  </si>
  <si>
    <t>Biyem-Assi</t>
  </si>
  <si>
    <t>Populeux</t>
  </si>
  <si>
    <t>CM-DT-007</t>
  </si>
  <si>
    <t>Nkolbisson</t>
  </si>
  <si>
    <t>peripherique</t>
  </si>
  <si>
    <t>CM-DT-008</t>
  </si>
  <si>
    <t>Ekounou</t>
  </si>
  <si>
    <t>CM-DT-009</t>
  </si>
  <si>
    <t>Melen</t>
  </si>
  <si>
    <t>CM-DT-010</t>
  </si>
  <si>
    <t>Mendong</t>
  </si>
  <si>
    <t>CM-DT-011</t>
  </si>
  <si>
    <t>Akwa</t>
  </si>
  <si>
    <t>Centre affaires</t>
  </si>
  <si>
    <t>CM-DT-012</t>
  </si>
  <si>
    <t>Bonapriso</t>
  </si>
  <si>
    <t>Aise</t>
  </si>
  <si>
    <t>CM-DT-013</t>
  </si>
  <si>
    <t>Bonanjo</t>
  </si>
  <si>
    <t>Administratif</t>
  </si>
  <si>
    <t>CM-DT-014</t>
  </si>
  <si>
    <t>New Bell</t>
  </si>
  <si>
    <t>populaire</t>
  </si>
  <si>
    <t>Tres populeux</t>
  </si>
  <si>
    <t>CM-DT-015</t>
  </si>
  <si>
    <t>Deido</t>
  </si>
  <si>
    <t>CM-DT-016</t>
  </si>
  <si>
    <t>Bepanda</t>
  </si>
  <si>
    <t>CM-DT-017</t>
  </si>
  <si>
    <t>Bali</t>
  </si>
  <si>
    <t>CM-DT-018</t>
  </si>
  <si>
    <t>Bonaberi</t>
  </si>
  <si>
    <t>Zone industrielle et residentielle</t>
  </si>
  <si>
    <t>CM-DT-019</t>
  </si>
  <si>
    <t>Makepe</t>
  </si>
  <si>
    <t>CM-DT-020</t>
  </si>
  <si>
    <t>Logbaba</t>
  </si>
  <si>
    <t>CM-DT-021</t>
  </si>
  <si>
    <t>Bonamoussadi</t>
  </si>
  <si>
    <t>CM-DT-022</t>
  </si>
  <si>
    <t>Ndogpassi</t>
  </si>
  <si>
    <t>CM-DT-023</t>
  </si>
  <si>
    <t>Commercial Avenue</t>
  </si>
  <si>
    <t>CM-DT-024</t>
  </si>
  <si>
    <t>Nkwen</t>
  </si>
  <si>
    <t>CM-DT-025</t>
  </si>
  <si>
    <t>Bambili</t>
  </si>
  <si>
    <t>CI-DT-001</t>
  </si>
  <si>
    <t>Cocody</t>
  </si>
  <si>
    <t>Aise, ambassades</t>
  </si>
  <si>
    <t>CI-DT-002</t>
  </si>
  <si>
    <t>Plateau</t>
  </si>
  <si>
    <t>CI-DT-003</t>
  </si>
  <si>
    <t>Yopougon</t>
  </si>
  <si>
    <t>Plus peuplee</t>
  </si>
  <si>
    <t>CI-DT-004</t>
  </si>
  <si>
    <t>Marcory</t>
  </si>
  <si>
    <t>CI-DT-005</t>
  </si>
  <si>
    <t>Treichville</t>
  </si>
  <si>
    <t>CI-DT-006</t>
  </si>
  <si>
    <t>Adjame</t>
  </si>
  <si>
    <t>Gros marches</t>
  </si>
  <si>
    <t>CI-DT-007</t>
  </si>
  <si>
    <t>Attecoube</t>
  </si>
  <si>
    <t>CI-DT-008</t>
  </si>
  <si>
    <t>Koumassi</t>
  </si>
  <si>
    <t>CI-DT-009</t>
  </si>
  <si>
    <t>Port-Bouet</t>
  </si>
  <si>
    <t>Aeroport</t>
  </si>
  <si>
    <t>CI-DT-010</t>
  </si>
  <si>
    <t>Abobo</t>
  </si>
  <si>
    <t>Populeuse</t>
  </si>
  <si>
    <t>CI-DT-011</t>
  </si>
  <si>
    <t>Songon</t>
  </si>
  <si>
    <t>CI-DT-012</t>
  </si>
  <si>
    <t>Air France</t>
  </si>
  <si>
    <t>CI-DT-013</t>
  </si>
  <si>
    <t>Belleville</t>
  </si>
  <si>
    <t>CI-DT-014</t>
  </si>
  <si>
    <t>Sokoura</t>
  </si>
  <si>
    <t>CI-DT-015</t>
  </si>
  <si>
    <t>N'Gattakro</t>
  </si>
  <si>
    <t>CI-DT-016</t>
  </si>
  <si>
    <t>Habitat</t>
  </si>
  <si>
    <t>CI-DT-017</t>
  </si>
  <si>
    <t>Dioulakro</t>
  </si>
  <si>
    <t>BF-DT-001</t>
  </si>
  <si>
    <t>Ouaga 2000</t>
  </si>
  <si>
    <t>Nouveau, aise</t>
  </si>
  <si>
    <t>BF-DT-002</t>
  </si>
  <si>
    <t>Zone du Bois</t>
  </si>
  <si>
    <t>BF-DT-003</t>
  </si>
  <si>
    <t>Zone 1</t>
  </si>
  <si>
    <t>BF-DT-004</t>
  </si>
  <si>
    <t>Zogona</t>
  </si>
  <si>
    <t>BF-DT-005</t>
  </si>
  <si>
    <t>Gounghin</t>
  </si>
  <si>
    <t>BF-DT-006</t>
  </si>
  <si>
    <t>Pissy</t>
  </si>
  <si>
    <t>BF-DT-007</t>
  </si>
  <si>
    <t>Cissin</t>
  </si>
  <si>
    <t>BF-DT-008</t>
  </si>
  <si>
    <t>Dassasgho</t>
  </si>
  <si>
    <t>BF-DT-009</t>
  </si>
  <si>
    <t>Wemtenga</t>
  </si>
  <si>
    <t>BF-DT-010</t>
  </si>
  <si>
    <t>Somgande</t>
  </si>
  <si>
    <t>BF-DT-011</t>
  </si>
  <si>
    <t>Tampouy</t>
  </si>
  <si>
    <t>BF-DT-012</t>
  </si>
  <si>
    <t>Bendogo</t>
  </si>
  <si>
    <t>BF-DT-013</t>
  </si>
  <si>
    <t>Guimbi</t>
  </si>
  <si>
    <t>BF-DT-014</t>
  </si>
  <si>
    <t>Colma</t>
  </si>
  <si>
    <t>BF-DT-015</t>
  </si>
  <si>
    <t>Bolomakote</t>
  </si>
  <si>
    <t>BF-DT-016</t>
  </si>
  <si>
    <t>Belle-Ville</t>
  </si>
  <si>
    <t>BF-DT-017</t>
  </si>
  <si>
    <t>Toukouro</t>
  </si>
  <si>
    <t>BF-DT-018</t>
  </si>
  <si>
    <t>Diaradougou</t>
  </si>
  <si>
    <t>SN-DT-001</t>
  </si>
  <si>
    <t>SN-DT-002</t>
  </si>
  <si>
    <t>Medina</t>
  </si>
  <si>
    <t>Ancien</t>
  </si>
  <si>
    <t>SN-DT-003</t>
  </si>
  <si>
    <t>Fann</t>
  </si>
  <si>
    <t>Universite</t>
  </si>
  <si>
    <t>SN-DT-004</t>
  </si>
  <si>
    <t>Sacre-Coeur</t>
  </si>
  <si>
    <t>SN-DT-005</t>
  </si>
  <si>
    <t>Mermoz</t>
  </si>
  <si>
    <t>SN-DT-006</t>
  </si>
  <si>
    <t>Almadies</t>
  </si>
  <si>
    <t>Aise, tourisme</t>
  </si>
  <si>
    <t>SN-DT-007</t>
  </si>
  <si>
    <t>Ouakam</t>
  </si>
  <si>
    <t>SN-DT-008</t>
  </si>
  <si>
    <t>Yoff</t>
  </si>
  <si>
    <t>SN-DT-009</t>
  </si>
  <si>
    <t>Ngor</t>
  </si>
  <si>
    <t>Cote</t>
  </si>
  <si>
    <t>SN-DT-010</t>
  </si>
  <si>
    <t>Point E</t>
  </si>
  <si>
    <t>SN-DT-011</t>
  </si>
  <si>
    <t>Grand Yoff</t>
  </si>
  <si>
    <t>SN-DT-012</t>
  </si>
  <si>
    <t>Parcelles Assainies</t>
  </si>
  <si>
    <t>SN-DT-013</t>
  </si>
  <si>
    <t>Grand Dakar</t>
  </si>
  <si>
    <t>SN-DT-014</t>
  </si>
  <si>
    <t>Liberte</t>
  </si>
  <si>
    <t>SN-DT-015</t>
  </si>
  <si>
    <t>Hann</t>
  </si>
  <si>
    <t>SN-DT-016</t>
  </si>
  <si>
    <t>Pikine Ouest</t>
  </si>
  <si>
    <t>SN-DT-017</t>
  </si>
  <si>
    <t>Pikine Est</t>
  </si>
  <si>
    <t>SN-DT-018</t>
  </si>
  <si>
    <t>Guinaw Rail</t>
  </si>
  <si>
    <t>SN-DT-019</t>
  </si>
  <si>
    <t>Randoulene</t>
  </si>
  <si>
    <t>SN-DT-020</t>
  </si>
  <si>
    <t>Grand Thies</t>
  </si>
  <si>
    <t>SN-DT-021</t>
  </si>
  <si>
    <t>Ile Saint-Louis</t>
  </si>
  <si>
    <t>Patrimoine UNESCO</t>
  </si>
  <si>
    <t>SN-DT-022</t>
  </si>
  <si>
    <t>Sor</t>
  </si>
  <si>
    <t>telco_id</t>
  </si>
  <si>
    <t>mnc</t>
  </si>
  <si>
    <t>network_name</t>
  </si>
  <si>
    <t>short_name</t>
  </si>
  <si>
    <t>mcc</t>
  </si>
  <si>
    <t>ussd_base_code</t>
  </si>
  <si>
    <t>regex_msisdn</t>
  </si>
  <si>
    <t>market_share_pct</t>
  </si>
  <si>
    <t>MTN Cameroon</t>
  </si>
  <si>
    <t>MTN CM</t>
  </si>
  <si>
    <t>*126#</t>
  </si>
  <si>
    <t>^237(67\d{7}|68[0-4]\d{6}|65[0-4]\d{6})$</t>
  </si>
  <si>
    <t>Orange Cameroon</t>
  </si>
  <si>
    <t>Orange CM</t>
  </si>
  <si>
    <t>#150#</t>
  </si>
  <si>
    <t>^237(69\d{7}|65[5-9]\d{6}|68[5-9]\d{6})$</t>
  </si>
  <si>
    <t>Camtel/Blue</t>
  </si>
  <si>
    <t>Blue CM</t>
  </si>
  <si>
    <t>*123#</t>
  </si>
  <si>
    <t>^237(62\d{7})$</t>
  </si>
  <si>
    <t>Orange Cote d'Ivoire</t>
  </si>
  <si>
    <t>Orange CI</t>
  </si>
  <si>
    <t>#144#</t>
  </si>
  <si>
    <t>^225(07\d{8}|47\d{8}|57\d{8})$</t>
  </si>
  <si>
    <t>MTN Cote d'Ivoire</t>
  </si>
  <si>
    <t>MTN CI</t>
  </si>
  <si>
    <t>*133#</t>
  </si>
  <si>
    <t>^225(05\d{8}|45\d{8}|55\d{8})$</t>
  </si>
  <si>
    <t>Moov Africa CI</t>
  </si>
  <si>
    <t>Moov CI</t>
  </si>
  <si>
    <t>*155#</t>
  </si>
  <si>
    <t>^225(01\d{8}|41\d{8}|51\d{8})$</t>
  </si>
  <si>
    <t>Orange Burkina Faso</t>
  </si>
  <si>
    <t>Orange BF</t>
  </si>
  <si>
    <t>^226(0[56]\d{7}|5[45]\d{7})$</t>
  </si>
  <si>
    <t>Moov Africa Burkina</t>
  </si>
  <si>
    <t>Moov BF</t>
  </si>
  <si>
    <t>*555#</t>
  </si>
  <si>
    <t>^226(0[12]\d{7}|5[12]\d{7})$</t>
  </si>
  <si>
    <t>Telecel Faso</t>
  </si>
  <si>
    <t>Telecel BF</t>
  </si>
  <si>
    <t>*100#</t>
  </si>
  <si>
    <t>^226(0[78]\d{7}|5[678]\d{7})$</t>
  </si>
  <si>
    <t>Orange (Sonatel)</t>
  </si>
  <si>
    <t>Orange SN</t>
  </si>
  <si>
    <t>^221(77\d{7}|78\d{7})$</t>
  </si>
  <si>
    <t>Free (Yas Senegal)</t>
  </si>
  <si>
    <t>Free SN</t>
  </si>
  <si>
    <t>^221(76\d{7})$</t>
  </si>
  <si>
    <t>Expresso Senegal</t>
  </si>
  <si>
    <t>Expresso SN</t>
  </si>
  <si>
    <t>#111#</t>
  </si>
  <si>
    <t>^221(70\d{7})$</t>
  </si>
  <si>
    <t>decimal_places</t>
  </si>
  <si>
    <t>region</t>
  </si>
  <si>
    <t>central_bank</t>
  </si>
  <si>
    <t>countries_using</t>
  </si>
  <si>
    <t>usd_rate_approx</t>
  </si>
  <si>
    <t>eur_rate_approx</t>
  </si>
  <si>
    <t>Zone CEMAC</t>
  </si>
  <si>
    <t>BEAC (Banque des Etats de l'Afrique Centrale)</t>
  </si>
  <si>
    <t>CM, CG, GA, GQ, CF, TD</t>
  </si>
  <si>
    <t>Zone UEMOA</t>
  </si>
  <si>
    <t>BCEAO (Banque Centrale des Etats de l'Afrique de l'Ouest)</t>
  </si>
  <si>
    <t>CI, BF, SN, BJ, TG, NE, ML, GW</t>
  </si>
  <si>
    <t>Configuration du Loader FinZuu</t>
  </si>
  <si>
    <t>Parametres pilotes par le boss (message WhatsApp 16/07/2026)</t>
  </si>
  <si>
    <t>1. CADENCE</t>
  </si>
  <si>
    <t>Parametre</t>
  </si>
  <si>
    <t>Valeur</t>
  </si>
  <si>
    <t>Source</t>
  </si>
  <si>
    <t>Nombre de societes creees par jour minimum</t>
  </si>
  <si>
    <t>Ordre boss 16/07</t>
  </si>
  <si>
    <t>Nombre total d'entrees par jour</t>
  </si>
  <si>
    <t>Ratio societes / individus</t>
  </si>
  <si>
    <t>20% / 80%</t>
  </si>
  <si>
    <t>Rythme d'execution</t>
  </si>
  <si>
    <t>Continu (cron ou daemon)</t>
  </si>
  <si>
    <t>Deduit</t>
  </si>
  <si>
    <t>Environnements cibles</t>
  </si>
  <si>
    <t>TEST + DEMO</t>
  </si>
  <si>
    <t>2. DISTRIBUTION GEOGRAPHIQUE</t>
  </si>
  <si>
    <t>Pays cibles</t>
  </si>
  <si>
    <t>CM, CI, BF, SN</t>
  </si>
  <si>
    <t>Distribution par pays</t>
  </si>
  <si>
    <t>25% chacun (uniforme)</t>
  </si>
  <si>
    <t>Deduit — 4 pays equipoids</t>
  </si>
  <si>
    <t>Rattachement geographique</t>
  </si>
  <si>
    <t>Region -&gt; City -&gt; District</t>
  </si>
  <si>
    <t>Modele architectural Loader</t>
  </si>
  <si>
    <t>3. PROFIL INDIVIDUS (80% du volume)</t>
  </si>
  <si>
    <t>Pourcentage individus &lt; 25 ans</t>
  </si>
  <si>
    <t>60%</t>
  </si>
  <si>
    <t>Ratio femmes / hommes</t>
  </si>
  <si>
    <t>2 / 1 (66.7% / 33.3%)</t>
  </si>
  <si>
    <t>Segment de scoring</t>
  </si>
  <si>
    <t>ANY (defaut) — a affiner par regle metier</t>
  </si>
  <si>
    <t>Doc TNS Annexe 7</t>
  </si>
  <si>
    <t>4. PROFIL PROFESSIONNELS (20% du volume)</t>
  </si>
  <si>
    <t>Pourcentage agriculture</t>
  </si>
  <si>
    <t>20% des professionnels</t>
  </si>
  <si>
    <t>Autres secteurs</t>
  </si>
  <si>
    <t>Transports, commerce, services (repartition libre)</t>
  </si>
  <si>
    <t>Type d'entreprise dominant</t>
  </si>
  <si>
    <t>TVE (Tres Vetite Entreprise)</t>
  </si>
  <si>
    <t>Empirique Faker</t>
  </si>
  <si>
    <t>5. LENDERS (bailleurs de fonds)</t>
  </si>
  <si>
    <t>Lenders locaux par pays</t>
  </si>
  <si>
    <t>Total lenders locaux (4 pays)</t>
  </si>
  <si>
    <t>Formule</t>
  </si>
  <si>
    <t>Bailleurs institutionnels</t>
  </si>
  <si>
    <t>Bailleurs listes</t>
  </si>
  <si>
    <t>Nordic Microfinance, IFC, AFD, BAD</t>
  </si>
  <si>
    <t>Composant</t>
  </si>
  <si>
    <t>Fournit</t>
  </si>
  <si>
    <t>Clients Individual/Business</t>
  </si>
  <si>
    <t>Faker fintech4esg</t>
  </si>
  <si>
    <t>Nom, MSISDN, identite, scoring, historique credit</t>
  </si>
  <si>
    <t>Companies (IMF, banques, boutiques)</t>
  </si>
  <si>
    <t>Generateur interne FinZuu</t>
  </si>
  <si>
    <t>Aucun equivalent Faker</t>
  </si>
  <si>
    <t>Lenders institutionnels</t>
  </si>
  <si>
    <t>Liste manuelle (config)</t>
  </si>
  <si>
    <t>Nordic, IFC, AFD, BAD</t>
  </si>
  <si>
    <t>Arbre geographique</t>
  </si>
  <si>
    <t>Feuilles Regions/Cities/Districts</t>
  </si>
  <si>
    <t>Hierarchie officielle 4 pays</t>
  </si>
  <si>
    <t>Produits Collecte (CASH/CASH_DAT/PRODUCT)</t>
  </si>
  <si>
    <t>product-service (via API REST)</t>
  </si>
  <si>
    <t>Catalogue produits</t>
  </si>
  <si>
    <t>Comptes financiers</t>
  </si>
  <si>
    <t>account-service (via API REST)</t>
  </si>
  <si>
    <t>CAPITAL/INTEREST/PENALTY/TAXE</t>
  </si>
  <si>
    <t>Prets</t>
  </si>
  <si>
    <t>loan-service (module Duhamel dt@finzuu.com)</t>
  </si>
  <si>
    <t>Decaissement/remboursement</t>
  </si>
  <si>
    <t>Transactions Collecte</t>
  </si>
  <si>
    <t>collect-service (via API REST)</t>
  </si>
  <si>
    <t>Depots journaliers, retraits</t>
  </si>
  <si>
    <t>Nombre debit &amp; Credit (P2P &amp; MM)</t>
  </si>
  <si>
    <t>Paiement Marchand  (P2P &amp; MM)</t>
  </si>
  <si>
    <t xml:space="preserve">1 voire x selon les profil  segment 1-5 </t>
  </si>
  <si>
    <t>Valeur (jour)</t>
  </si>
  <si>
    <t>Nombre de loan/ par jour</t>
  </si>
  <si>
    <t>1 par jour montant depends des segment et categorie</t>
  </si>
  <si>
    <t>New</t>
  </si>
  <si>
    <t>7. SOURCES DE DONNEES</t>
  </si>
  <si>
    <t>8. SYSTÈME</t>
  </si>
  <si>
    <t xml:space="preserve">Plateforme </t>
  </si>
  <si>
    <t xml:space="preserve">Swagger </t>
  </si>
  <si>
    <t xml:space="preserve">DB_Name </t>
  </si>
  <si>
    <t>URL / IP / Login / Passwd</t>
  </si>
  <si>
    <t>TNS Agency</t>
  </si>
  <si>
    <t xml:space="preserve">Domain name </t>
  </si>
  <si>
    <t>loader.fintech4esg.com</t>
  </si>
  <si>
    <t>Credit &amp; debit compte Epargne</t>
  </si>
  <si>
    <t>Creation nouveau Compte / jour</t>
  </si>
  <si>
    <t>6. Frequence des Opérations</t>
  </si>
  <si>
    <t>TEST / DEMO ou PROD</t>
  </si>
  <si>
    <t xml:space="preserve">Souscription nouveau produit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</si>
</sst>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4E78"/>
      <name val="Arial"/>
      <family val="2"/>
    </font>
    <font>
      <i/>
      <sz val="10"/>
      <color rgb="FF60606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i/>
      <sz val="9"/>
      <color rgb="FF606060"/>
      <name val="Arial"/>
      <family val="2"/>
    </font>
    <font>
      <b/>
      <sz val="11"/>
      <color rgb="FF1F4E78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3" borderId="0" xfId="0" applyFont="1" applyFill="1"/>
    <xf numFmtId="0" fontId="6" fillId="2" borderId="0" xfId="0" applyFont="1" applyFill="1"/>
    <xf numFmtId="0" fontId="9" fillId="4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2" width="90" customWidth="1"/>
  </cols>
  <sheetData>
    <row r="1" spans="1:2" ht="17.25" customHeight="1" x14ac:dyDescent="0.2">
      <c r="A1" s="1" t="s">
        <v>0</v>
      </c>
    </row>
    <row r="2" spans="1:2" ht="15" customHeight="1" x14ac:dyDescent="0.2">
      <c r="A2" s="2" t="s">
        <v>1</v>
      </c>
    </row>
    <row r="4" spans="1:2" ht="15" customHeight="1" x14ac:dyDescent="0.2">
      <c r="A4" s="3"/>
      <c r="B4" s="3"/>
    </row>
    <row r="5" spans="1:2" ht="15" customHeight="1" x14ac:dyDescent="0.2">
      <c r="A5" s="4" t="s">
        <v>2</v>
      </c>
      <c r="B5" s="3" t="s">
        <v>3</v>
      </c>
    </row>
    <row r="6" spans="1:2" ht="15" customHeight="1" x14ac:dyDescent="0.2">
      <c r="A6" s="4" t="s">
        <v>4</v>
      </c>
      <c r="B6" s="3" t="s">
        <v>5</v>
      </c>
    </row>
    <row r="7" spans="1:2" ht="15" customHeight="1" x14ac:dyDescent="0.2">
      <c r="A7" s="4" t="s">
        <v>6</v>
      </c>
      <c r="B7" s="3" t="s">
        <v>7</v>
      </c>
    </row>
    <row r="8" spans="1:2" ht="15" customHeight="1" x14ac:dyDescent="0.2">
      <c r="A8" s="4" t="s">
        <v>8</v>
      </c>
      <c r="B8" s="3" t="s">
        <v>9</v>
      </c>
    </row>
    <row r="9" spans="1:2" ht="15" customHeight="1" x14ac:dyDescent="0.2">
      <c r="A9" s="4" t="s">
        <v>10</v>
      </c>
      <c r="B9" s="3" t="s">
        <v>11</v>
      </c>
    </row>
    <row r="10" spans="1:2" ht="15" customHeight="1" x14ac:dyDescent="0.2">
      <c r="A10" s="3"/>
      <c r="B10" s="3"/>
    </row>
    <row r="11" spans="1:2" ht="15" customHeight="1" x14ac:dyDescent="0.2">
      <c r="A11" s="4" t="s">
        <v>12</v>
      </c>
      <c r="B11" s="3"/>
    </row>
    <row r="12" spans="1:2" ht="15" customHeight="1" x14ac:dyDescent="0.2">
      <c r="A12" s="4" t="s">
        <v>13</v>
      </c>
      <c r="B12" s="3" t="s">
        <v>14</v>
      </c>
    </row>
    <row r="13" spans="1:2" ht="15" customHeight="1" x14ac:dyDescent="0.2">
      <c r="A13" s="4" t="s">
        <v>15</v>
      </c>
      <c r="B13" s="3" t="s">
        <v>16</v>
      </c>
    </row>
    <row r="14" spans="1:2" ht="15" customHeight="1" x14ac:dyDescent="0.2">
      <c r="A14" s="4" t="s">
        <v>17</v>
      </c>
      <c r="B14" s="3" t="s">
        <v>18</v>
      </c>
    </row>
    <row r="15" spans="1:2" ht="15" customHeight="1" x14ac:dyDescent="0.2">
      <c r="A15" s="4" t="s">
        <v>19</v>
      </c>
      <c r="B15" s="3" t="s">
        <v>20</v>
      </c>
    </row>
    <row r="16" spans="1:2" ht="15" customHeight="1" x14ac:dyDescent="0.2">
      <c r="A16" s="4" t="s">
        <v>21</v>
      </c>
      <c r="B16" s="3" t="s">
        <v>22</v>
      </c>
    </row>
    <row r="17" spans="1:2" ht="15" customHeight="1" x14ac:dyDescent="0.2">
      <c r="A17" s="4" t="s">
        <v>23</v>
      </c>
      <c r="B17" s="3" t="s">
        <v>24</v>
      </c>
    </row>
    <row r="18" spans="1:2" ht="15" customHeight="1" x14ac:dyDescent="0.2">
      <c r="A18" s="4" t="s">
        <v>25</v>
      </c>
      <c r="B18" s="3" t="s">
        <v>26</v>
      </c>
    </row>
    <row r="19" spans="1:2" ht="15" customHeight="1" x14ac:dyDescent="0.2">
      <c r="A19" s="3"/>
      <c r="B19" s="3"/>
    </row>
    <row r="20" spans="1:2" ht="15" customHeight="1" x14ac:dyDescent="0.2">
      <c r="A20" s="4" t="s">
        <v>27</v>
      </c>
      <c r="B20" s="3"/>
    </row>
    <row r="21" spans="1:2" ht="15" customHeight="1" x14ac:dyDescent="0.2">
      <c r="A21" s="4" t="s">
        <v>28</v>
      </c>
      <c r="B21" s="3" t="s">
        <v>29</v>
      </c>
    </row>
    <row r="22" spans="1:2" ht="15" customHeight="1" x14ac:dyDescent="0.2">
      <c r="A22" s="4" t="s">
        <v>30</v>
      </c>
      <c r="B22" s="3" t="s">
        <v>31</v>
      </c>
    </row>
    <row r="23" spans="1:2" ht="15" customHeight="1" x14ac:dyDescent="0.2">
      <c r="A23" s="4" t="s">
        <v>32</v>
      </c>
      <c r="B23" s="3" t="s">
        <v>33</v>
      </c>
    </row>
    <row r="24" spans="1:2" ht="15" customHeight="1" x14ac:dyDescent="0.2">
      <c r="A24" s="3"/>
      <c r="B24" s="3"/>
    </row>
    <row r="25" spans="1:2" ht="15" customHeight="1" x14ac:dyDescent="0.2">
      <c r="A25" s="4" t="s">
        <v>34</v>
      </c>
      <c r="B25" s="3"/>
    </row>
    <row r="26" spans="1:2" ht="15" customHeight="1" x14ac:dyDescent="0.2">
      <c r="A26" s="4" t="s">
        <v>35</v>
      </c>
      <c r="B26" s="3" t="s">
        <v>36</v>
      </c>
    </row>
    <row r="27" spans="1:2" ht="15" customHeight="1" x14ac:dyDescent="0.2">
      <c r="A27" s="4" t="s">
        <v>37</v>
      </c>
      <c r="B27" s="3" t="s">
        <v>38</v>
      </c>
    </row>
    <row r="28" spans="1:2" ht="15" customHeight="1" x14ac:dyDescent="0.2">
      <c r="A28" s="4" t="s">
        <v>39</v>
      </c>
      <c r="B28" s="3" t="s">
        <v>40</v>
      </c>
    </row>
    <row r="29" spans="1:2" ht="15" customHeight="1" x14ac:dyDescent="0.2">
      <c r="A29" s="4" t="s">
        <v>41</v>
      </c>
      <c r="B29" s="3" t="s">
        <v>42</v>
      </c>
    </row>
    <row r="30" spans="1:2" ht="15" customHeight="1" x14ac:dyDescent="0.2">
      <c r="A30" s="4" t="s">
        <v>43</v>
      </c>
      <c r="B30" s="3" t="s">
        <v>44</v>
      </c>
    </row>
    <row r="31" spans="1:2" ht="15" customHeight="1" x14ac:dyDescent="0.2">
      <c r="A31" s="3"/>
      <c r="B31" s="3"/>
    </row>
    <row r="32" spans="1:2" ht="15" customHeight="1" x14ac:dyDescent="0.2">
      <c r="A32" s="4" t="s">
        <v>45</v>
      </c>
      <c r="B32" s="3"/>
    </row>
    <row r="33" spans="1:2" ht="15" customHeight="1" x14ac:dyDescent="0.2">
      <c r="A33" s="3" t="s">
        <v>46</v>
      </c>
      <c r="B33" s="3" t="s">
        <v>47</v>
      </c>
    </row>
    <row r="34" spans="1:2" ht="15" customHeight="1" x14ac:dyDescent="0.2">
      <c r="A34" s="3" t="s">
        <v>48</v>
      </c>
      <c r="B34" s="3" t="s">
        <v>49</v>
      </c>
    </row>
    <row r="35" spans="1:2" ht="15" customHeight="1" x14ac:dyDescent="0.2">
      <c r="A35" s="3" t="s">
        <v>50</v>
      </c>
      <c r="B35" s="3" t="s">
        <v>51</v>
      </c>
    </row>
    <row r="36" spans="1:2" ht="15" customHeight="1" x14ac:dyDescent="0.2">
      <c r="A36" s="3" t="s">
        <v>52</v>
      </c>
      <c r="B36" s="3" t="s">
        <v>53</v>
      </c>
    </row>
    <row r="37" spans="1:2" ht="15" customHeight="1" x14ac:dyDescent="0.2">
      <c r="A37" s="3" t="s">
        <v>54</v>
      </c>
      <c r="B37" s="3" t="s">
        <v>55</v>
      </c>
    </row>
    <row r="38" spans="1:2" ht="15" customHeight="1" x14ac:dyDescent="0.2">
      <c r="A38" s="3" t="s">
        <v>56</v>
      </c>
      <c r="B38" s="3" t="s">
        <v>57</v>
      </c>
    </row>
    <row r="39" spans="1:2" ht="15" customHeight="1" x14ac:dyDescent="0.2">
      <c r="A39" s="3" t="s">
        <v>58</v>
      </c>
      <c r="B39" s="3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zoomScaleNormal="100" workbookViewId="0"/>
  </sheetViews>
  <sheetFormatPr baseColWidth="10" defaultColWidth="8.6640625" defaultRowHeight="15" x14ac:dyDescent="0.2"/>
  <cols>
    <col min="1" max="1" width="14" customWidth="1"/>
    <col min="2" max="4" width="18" customWidth="1"/>
    <col min="5" max="5" width="12" customWidth="1"/>
    <col min="6" max="6" width="14" customWidth="1"/>
    <col min="7" max="7" width="20" customWidth="1"/>
    <col min="8" max="8" width="12" customWidth="1"/>
    <col min="9" max="10" width="18" customWidth="1"/>
    <col min="11" max="11" width="16" customWidth="1"/>
    <col min="12" max="12" width="18" customWidth="1"/>
  </cols>
  <sheetData>
    <row r="1" spans="1:12" ht="26.25" customHeight="1" x14ac:dyDescent="0.2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65</v>
      </c>
      <c r="G1" s="5" t="s">
        <v>66</v>
      </c>
      <c r="H1" s="5" t="s">
        <v>67</v>
      </c>
      <c r="I1" s="5" t="s">
        <v>68</v>
      </c>
      <c r="J1" s="5" t="s">
        <v>69</v>
      </c>
      <c r="K1" s="5" t="s">
        <v>70</v>
      </c>
      <c r="L1" s="5" t="s">
        <v>71</v>
      </c>
    </row>
    <row r="2" spans="1:12" ht="15" customHeight="1" x14ac:dyDescent="0.2">
      <c r="A2" s="6" t="s">
        <v>72</v>
      </c>
      <c r="B2" s="6" t="s">
        <v>73</v>
      </c>
      <c r="C2" s="6" t="s">
        <v>74</v>
      </c>
      <c r="D2" s="6" t="s">
        <v>75</v>
      </c>
      <c r="E2" s="6" t="s">
        <v>76</v>
      </c>
      <c r="F2" s="6" t="s">
        <v>77</v>
      </c>
      <c r="G2" s="6" t="s">
        <v>78</v>
      </c>
      <c r="H2" s="6">
        <v>19.25</v>
      </c>
      <c r="I2" s="6" t="s">
        <v>79</v>
      </c>
      <c r="J2" s="6" t="s">
        <v>80</v>
      </c>
      <c r="K2" s="6" t="s">
        <v>81</v>
      </c>
      <c r="L2" s="6" t="s">
        <v>82</v>
      </c>
    </row>
    <row r="3" spans="1:12" ht="15" customHeight="1" x14ac:dyDescent="0.2">
      <c r="A3" s="6" t="s">
        <v>83</v>
      </c>
      <c r="B3" s="6" t="s">
        <v>84</v>
      </c>
      <c r="C3" s="6" t="s">
        <v>85</v>
      </c>
      <c r="D3" s="6" t="s">
        <v>86</v>
      </c>
      <c r="E3" s="6" t="s">
        <v>87</v>
      </c>
      <c r="F3" s="6" t="s">
        <v>88</v>
      </c>
      <c r="G3" s="6" t="s">
        <v>89</v>
      </c>
      <c r="H3" s="6">
        <v>18</v>
      </c>
      <c r="I3" s="6" t="s">
        <v>90</v>
      </c>
      <c r="J3" s="6" t="s">
        <v>91</v>
      </c>
      <c r="K3" s="6" t="s">
        <v>92</v>
      </c>
      <c r="L3" s="6" t="s">
        <v>93</v>
      </c>
    </row>
    <row r="4" spans="1:12" ht="15" customHeight="1" x14ac:dyDescent="0.2">
      <c r="A4" s="6" t="s">
        <v>94</v>
      </c>
      <c r="B4" s="6" t="s">
        <v>95</v>
      </c>
      <c r="C4" s="6" t="s">
        <v>95</v>
      </c>
      <c r="D4" s="6" t="s">
        <v>96</v>
      </c>
      <c r="E4" s="6" t="s">
        <v>97</v>
      </c>
      <c r="F4" s="6" t="s">
        <v>88</v>
      </c>
      <c r="G4" s="6" t="s">
        <v>89</v>
      </c>
      <c r="H4" s="6">
        <v>18</v>
      </c>
      <c r="I4" s="6" t="s">
        <v>90</v>
      </c>
      <c r="J4" s="6" t="s">
        <v>91</v>
      </c>
      <c r="K4" s="6" t="s">
        <v>98</v>
      </c>
      <c r="L4" s="6" t="s">
        <v>93</v>
      </c>
    </row>
    <row r="5" spans="1:12" ht="15" customHeight="1" x14ac:dyDescent="0.2">
      <c r="A5" s="6" t="s">
        <v>99</v>
      </c>
      <c r="B5" s="6" t="s">
        <v>100</v>
      </c>
      <c r="C5" s="6" t="s">
        <v>100</v>
      </c>
      <c r="D5" s="6" t="s">
        <v>101</v>
      </c>
      <c r="E5" s="6" t="s">
        <v>102</v>
      </c>
      <c r="F5" s="6" t="s">
        <v>88</v>
      </c>
      <c r="G5" s="6" t="s">
        <v>89</v>
      </c>
      <c r="H5" s="6">
        <v>18</v>
      </c>
      <c r="I5" s="6" t="s">
        <v>90</v>
      </c>
      <c r="J5" s="6" t="s">
        <v>91</v>
      </c>
      <c r="K5" s="6" t="s">
        <v>103</v>
      </c>
      <c r="L5" s="6" t="s">
        <v>93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14" customWidth="1"/>
    <col min="3" max="3" width="32" customWidth="1"/>
    <col min="4" max="4" width="22" customWidth="1"/>
    <col min="5" max="5" width="16" customWidth="1"/>
    <col min="6" max="6" width="40" customWidth="1"/>
  </cols>
  <sheetData>
    <row r="1" spans="1:6" ht="15" customHeight="1" x14ac:dyDescent="0.2">
      <c r="A1" s="5" t="s">
        <v>104</v>
      </c>
      <c r="B1" s="5" t="s">
        <v>60</v>
      </c>
      <c r="C1" s="5" t="s">
        <v>105</v>
      </c>
      <c r="D1" s="5" t="s">
        <v>106</v>
      </c>
      <c r="E1" s="5" t="s">
        <v>107</v>
      </c>
      <c r="F1" s="5" t="s">
        <v>108</v>
      </c>
    </row>
    <row r="2" spans="1:6" ht="15" customHeight="1" x14ac:dyDescent="0.2">
      <c r="A2" s="6" t="s">
        <v>109</v>
      </c>
      <c r="B2" s="6" t="s">
        <v>72</v>
      </c>
      <c r="C2" s="6" t="s">
        <v>110</v>
      </c>
      <c r="D2" s="6" t="s">
        <v>111</v>
      </c>
      <c r="E2" s="6">
        <v>1200000</v>
      </c>
      <c r="F2" s="6" t="s">
        <v>112</v>
      </c>
    </row>
    <row r="3" spans="1:6" ht="15" customHeight="1" x14ac:dyDescent="0.2">
      <c r="A3" s="6" t="s">
        <v>113</v>
      </c>
      <c r="B3" s="6" t="s">
        <v>72</v>
      </c>
      <c r="C3" s="6" t="s">
        <v>114</v>
      </c>
      <c r="D3" s="6" t="s">
        <v>75</v>
      </c>
      <c r="E3" s="6">
        <v>4400000</v>
      </c>
      <c r="F3" s="6" t="s">
        <v>115</v>
      </c>
    </row>
    <row r="4" spans="1:6" ht="15" customHeight="1" x14ac:dyDescent="0.2">
      <c r="A4" s="6" t="s">
        <v>116</v>
      </c>
      <c r="B4" s="6" t="s">
        <v>72</v>
      </c>
      <c r="C4" s="6" t="s">
        <v>117</v>
      </c>
      <c r="D4" s="6" t="s">
        <v>118</v>
      </c>
      <c r="E4" s="6">
        <v>900000</v>
      </c>
      <c r="F4" s="6" t="s">
        <v>119</v>
      </c>
    </row>
    <row r="5" spans="1:6" ht="15" customHeight="1" x14ac:dyDescent="0.2">
      <c r="A5" s="6" t="s">
        <v>120</v>
      </c>
      <c r="B5" s="6" t="s">
        <v>72</v>
      </c>
      <c r="C5" s="6" t="s">
        <v>121</v>
      </c>
      <c r="D5" s="6" t="s">
        <v>122</v>
      </c>
      <c r="E5" s="6">
        <v>4500000</v>
      </c>
      <c r="F5" s="6" t="s">
        <v>123</v>
      </c>
    </row>
    <row r="6" spans="1:6" ht="15" customHeight="1" x14ac:dyDescent="0.2">
      <c r="A6" s="6" t="s">
        <v>124</v>
      </c>
      <c r="B6" s="6" t="s">
        <v>72</v>
      </c>
      <c r="C6" s="6" t="s">
        <v>125</v>
      </c>
      <c r="D6" s="6" t="s">
        <v>126</v>
      </c>
      <c r="E6" s="6">
        <v>3500000</v>
      </c>
      <c r="F6" s="6" t="s">
        <v>127</v>
      </c>
    </row>
    <row r="7" spans="1:6" ht="15" customHeight="1" x14ac:dyDescent="0.2">
      <c r="A7" s="6" t="s">
        <v>128</v>
      </c>
      <c r="B7" s="6" t="s">
        <v>72</v>
      </c>
      <c r="C7" s="6" t="s">
        <v>129</v>
      </c>
      <c r="D7" s="6" t="s">
        <v>130</v>
      </c>
      <c r="E7" s="6">
        <v>2700000</v>
      </c>
      <c r="F7" s="6" t="s">
        <v>131</v>
      </c>
    </row>
    <row r="8" spans="1:6" ht="15" customHeight="1" x14ac:dyDescent="0.2">
      <c r="A8" s="6" t="s">
        <v>132</v>
      </c>
      <c r="B8" s="6" t="s">
        <v>72</v>
      </c>
      <c r="C8" s="6" t="s">
        <v>133</v>
      </c>
      <c r="D8" s="6" t="s">
        <v>134</v>
      </c>
      <c r="E8" s="6">
        <v>2000000</v>
      </c>
      <c r="F8" s="6" t="s">
        <v>135</v>
      </c>
    </row>
    <row r="9" spans="1:6" ht="15" customHeight="1" x14ac:dyDescent="0.2">
      <c r="A9" s="6" t="s">
        <v>136</v>
      </c>
      <c r="B9" s="6" t="s">
        <v>72</v>
      </c>
      <c r="C9" s="6" t="s">
        <v>137</v>
      </c>
      <c r="D9" s="6" t="s">
        <v>138</v>
      </c>
      <c r="E9" s="6">
        <v>2100000</v>
      </c>
      <c r="F9" s="6" t="s">
        <v>139</v>
      </c>
    </row>
    <row r="10" spans="1:6" ht="15" customHeight="1" x14ac:dyDescent="0.2">
      <c r="A10" s="6" t="s">
        <v>140</v>
      </c>
      <c r="B10" s="6" t="s">
        <v>72</v>
      </c>
      <c r="C10" s="6" t="s">
        <v>141</v>
      </c>
      <c r="D10" s="6" t="s">
        <v>142</v>
      </c>
      <c r="E10" s="6">
        <v>750000</v>
      </c>
      <c r="F10" s="6" t="s">
        <v>143</v>
      </c>
    </row>
    <row r="11" spans="1:6" ht="15" customHeight="1" x14ac:dyDescent="0.2">
      <c r="A11" s="6" t="s">
        <v>144</v>
      </c>
      <c r="B11" s="6" t="s">
        <v>72</v>
      </c>
      <c r="C11" s="6" t="s">
        <v>145</v>
      </c>
      <c r="D11" s="6" t="s">
        <v>146</v>
      </c>
      <c r="E11" s="6">
        <v>1550000</v>
      </c>
      <c r="F11" s="6" t="s">
        <v>147</v>
      </c>
    </row>
    <row r="12" spans="1:6" ht="15" customHeight="1" x14ac:dyDescent="0.2">
      <c r="A12" s="6" t="s">
        <v>148</v>
      </c>
      <c r="B12" s="6" t="s">
        <v>83</v>
      </c>
      <c r="C12" s="6" t="s">
        <v>149</v>
      </c>
      <c r="D12" s="6" t="s">
        <v>150</v>
      </c>
      <c r="E12" s="6">
        <v>6300000</v>
      </c>
      <c r="F12" s="6" t="s">
        <v>127</v>
      </c>
    </row>
    <row r="13" spans="1:6" ht="15" customHeight="1" x14ac:dyDescent="0.2">
      <c r="A13" s="6" t="s">
        <v>151</v>
      </c>
      <c r="B13" s="6" t="s">
        <v>83</v>
      </c>
      <c r="C13" s="6" t="s">
        <v>152</v>
      </c>
      <c r="D13" s="6" t="s">
        <v>86</v>
      </c>
      <c r="E13" s="6">
        <v>400000</v>
      </c>
      <c r="F13" s="6" t="s">
        <v>115</v>
      </c>
    </row>
    <row r="14" spans="1:6" ht="15" customHeight="1" x14ac:dyDescent="0.2">
      <c r="A14" s="6" t="s">
        <v>153</v>
      </c>
      <c r="B14" s="6" t="s">
        <v>83</v>
      </c>
      <c r="C14" s="6" t="s">
        <v>154</v>
      </c>
      <c r="D14" s="6" t="s">
        <v>155</v>
      </c>
      <c r="E14" s="6">
        <v>2000000</v>
      </c>
      <c r="F14" s="6" t="s">
        <v>156</v>
      </c>
    </row>
    <row r="15" spans="1:6" ht="15" customHeight="1" x14ac:dyDescent="0.2">
      <c r="A15" s="6" t="s">
        <v>157</v>
      </c>
      <c r="B15" s="6" t="s">
        <v>83</v>
      </c>
      <c r="C15" s="6" t="s">
        <v>158</v>
      </c>
      <c r="D15" s="6" t="s">
        <v>159</v>
      </c>
      <c r="E15" s="6">
        <v>1200000</v>
      </c>
      <c r="F15" s="6" t="s">
        <v>160</v>
      </c>
    </row>
    <row r="16" spans="1:6" ht="15" customHeight="1" x14ac:dyDescent="0.2">
      <c r="A16" s="6" t="s">
        <v>161</v>
      </c>
      <c r="B16" s="6" t="s">
        <v>83</v>
      </c>
      <c r="C16" s="6" t="s">
        <v>162</v>
      </c>
      <c r="D16" s="6" t="s">
        <v>163</v>
      </c>
      <c r="E16" s="6">
        <v>300000</v>
      </c>
      <c r="F16" s="6" t="s">
        <v>164</v>
      </c>
    </row>
    <row r="17" spans="1:6" ht="15" customHeight="1" x14ac:dyDescent="0.2">
      <c r="A17" s="6" t="s">
        <v>165</v>
      </c>
      <c r="B17" s="6" t="s">
        <v>83</v>
      </c>
      <c r="C17" s="6" t="s">
        <v>166</v>
      </c>
      <c r="D17" s="6" t="s">
        <v>167</v>
      </c>
      <c r="E17" s="6">
        <v>1600000</v>
      </c>
      <c r="F17" s="6"/>
    </row>
    <row r="18" spans="1:6" ht="15" customHeight="1" x14ac:dyDescent="0.2">
      <c r="A18" s="6" t="s">
        <v>168</v>
      </c>
      <c r="B18" s="6" t="s">
        <v>83</v>
      </c>
      <c r="C18" s="6" t="s">
        <v>169</v>
      </c>
      <c r="D18" s="6" t="s">
        <v>170</v>
      </c>
      <c r="E18" s="6">
        <v>750000</v>
      </c>
      <c r="F18" s="6"/>
    </row>
    <row r="19" spans="1:6" ht="15" customHeight="1" x14ac:dyDescent="0.2">
      <c r="A19" s="6" t="s">
        <v>171</v>
      </c>
      <c r="B19" s="6" t="s">
        <v>83</v>
      </c>
      <c r="C19" s="6" t="s">
        <v>172</v>
      </c>
      <c r="D19" s="6" t="s">
        <v>173</v>
      </c>
      <c r="E19" s="6">
        <v>1400000</v>
      </c>
      <c r="F19" s="6"/>
    </row>
    <row r="20" spans="1:6" ht="15" customHeight="1" x14ac:dyDescent="0.2">
      <c r="A20" s="6" t="s">
        <v>174</v>
      </c>
      <c r="B20" s="6" t="s">
        <v>83</v>
      </c>
      <c r="C20" s="6" t="s">
        <v>175</v>
      </c>
      <c r="D20" s="6" t="s">
        <v>176</v>
      </c>
      <c r="E20" s="6">
        <v>2400000</v>
      </c>
      <c r="F20" s="6" t="s">
        <v>137</v>
      </c>
    </row>
    <row r="21" spans="1:6" ht="15" customHeight="1" x14ac:dyDescent="0.2">
      <c r="A21" s="6" t="s">
        <v>177</v>
      </c>
      <c r="B21" s="6" t="s">
        <v>83</v>
      </c>
      <c r="C21" s="6" t="s">
        <v>178</v>
      </c>
      <c r="D21" s="6" t="s">
        <v>179</v>
      </c>
      <c r="E21" s="6">
        <v>2200000</v>
      </c>
      <c r="F21" s="6" t="s">
        <v>160</v>
      </c>
    </row>
    <row r="22" spans="1:6" ht="15" customHeight="1" x14ac:dyDescent="0.2">
      <c r="A22" s="6" t="s">
        <v>180</v>
      </c>
      <c r="B22" s="6" t="s">
        <v>83</v>
      </c>
      <c r="C22" s="6" t="s">
        <v>181</v>
      </c>
      <c r="D22" s="6" t="s">
        <v>182</v>
      </c>
      <c r="E22" s="6">
        <v>1600000</v>
      </c>
      <c r="F22" s="6" t="s">
        <v>183</v>
      </c>
    </row>
    <row r="23" spans="1:6" ht="15" customHeight="1" x14ac:dyDescent="0.2">
      <c r="A23" s="6" t="s">
        <v>184</v>
      </c>
      <c r="B23" s="6" t="s">
        <v>83</v>
      </c>
      <c r="C23" s="6" t="s">
        <v>185</v>
      </c>
      <c r="D23" s="6" t="s">
        <v>186</v>
      </c>
      <c r="E23" s="6">
        <v>1400000</v>
      </c>
      <c r="F23" s="6" t="s">
        <v>114</v>
      </c>
    </row>
    <row r="24" spans="1:6" ht="15" customHeight="1" x14ac:dyDescent="0.2">
      <c r="A24" s="6" t="s">
        <v>187</v>
      </c>
      <c r="B24" s="6" t="s">
        <v>83</v>
      </c>
      <c r="C24" s="6" t="s">
        <v>188</v>
      </c>
      <c r="D24" s="6" t="s">
        <v>189</v>
      </c>
      <c r="E24" s="6">
        <v>750000</v>
      </c>
      <c r="F24" s="6"/>
    </row>
    <row r="25" spans="1:6" ht="15" customHeight="1" x14ac:dyDescent="0.2">
      <c r="A25" s="6" t="s">
        <v>190</v>
      </c>
      <c r="B25" s="6" t="s">
        <v>83</v>
      </c>
      <c r="C25" s="6" t="s">
        <v>191</v>
      </c>
      <c r="D25" s="6" t="s">
        <v>192</v>
      </c>
      <c r="E25" s="6">
        <v>950000</v>
      </c>
      <c r="F25" s="6"/>
    </row>
    <row r="26" spans="1:6" ht="15" customHeight="1" x14ac:dyDescent="0.2">
      <c r="A26" s="6" t="s">
        <v>193</v>
      </c>
      <c r="B26" s="6" t="s">
        <v>94</v>
      </c>
      <c r="C26" s="6" t="s">
        <v>194</v>
      </c>
      <c r="D26" s="6" t="s">
        <v>195</v>
      </c>
      <c r="E26" s="6">
        <v>1900000</v>
      </c>
      <c r="F26" s="6"/>
    </row>
    <row r="27" spans="1:6" ht="15" customHeight="1" x14ac:dyDescent="0.2">
      <c r="A27" s="6" t="s">
        <v>196</v>
      </c>
      <c r="B27" s="6" t="s">
        <v>94</v>
      </c>
      <c r="C27" s="6" t="s">
        <v>197</v>
      </c>
      <c r="D27" s="6" t="s">
        <v>198</v>
      </c>
      <c r="E27" s="6">
        <v>780000</v>
      </c>
      <c r="F27" s="6" t="s">
        <v>199</v>
      </c>
    </row>
    <row r="28" spans="1:6" ht="15" customHeight="1" x14ac:dyDescent="0.2">
      <c r="A28" s="6" t="s">
        <v>200</v>
      </c>
      <c r="B28" s="6" t="s">
        <v>94</v>
      </c>
      <c r="C28" s="6" t="s">
        <v>114</v>
      </c>
      <c r="D28" s="6" t="s">
        <v>96</v>
      </c>
      <c r="E28" s="6">
        <v>3200000</v>
      </c>
      <c r="F28" s="6" t="s">
        <v>201</v>
      </c>
    </row>
    <row r="29" spans="1:6" ht="15" customHeight="1" x14ac:dyDescent="0.2">
      <c r="A29" s="6" t="s">
        <v>202</v>
      </c>
      <c r="B29" s="6" t="s">
        <v>94</v>
      </c>
      <c r="C29" s="6" t="s">
        <v>203</v>
      </c>
      <c r="D29" s="6" t="s">
        <v>204</v>
      </c>
      <c r="E29" s="6">
        <v>1550000</v>
      </c>
      <c r="F29" s="6"/>
    </row>
    <row r="30" spans="1:6" ht="15" customHeight="1" x14ac:dyDescent="0.2">
      <c r="A30" s="6" t="s">
        <v>205</v>
      </c>
      <c r="B30" s="6" t="s">
        <v>94</v>
      </c>
      <c r="C30" s="6" t="s">
        <v>206</v>
      </c>
      <c r="D30" s="6" t="s">
        <v>207</v>
      </c>
      <c r="E30" s="6">
        <v>1800000</v>
      </c>
      <c r="F30" s="6"/>
    </row>
    <row r="31" spans="1:6" ht="15" customHeight="1" x14ac:dyDescent="0.2">
      <c r="A31" s="6" t="s">
        <v>208</v>
      </c>
      <c r="B31" s="6" t="s">
        <v>94</v>
      </c>
      <c r="C31" s="6" t="s">
        <v>209</v>
      </c>
      <c r="D31" s="6" t="s">
        <v>210</v>
      </c>
      <c r="E31" s="6">
        <v>1650000</v>
      </c>
      <c r="F31" s="6"/>
    </row>
    <row r="32" spans="1:6" ht="15" customHeight="1" x14ac:dyDescent="0.2">
      <c r="A32" s="6" t="s">
        <v>211</v>
      </c>
      <c r="B32" s="6" t="s">
        <v>94</v>
      </c>
      <c r="C32" s="6" t="s">
        <v>212</v>
      </c>
      <c r="D32" s="6" t="s">
        <v>213</v>
      </c>
      <c r="E32" s="6">
        <v>800000</v>
      </c>
      <c r="F32" s="6"/>
    </row>
    <row r="33" spans="1:6" ht="15" customHeight="1" x14ac:dyDescent="0.2">
      <c r="A33" s="6" t="s">
        <v>214</v>
      </c>
      <c r="B33" s="6" t="s">
        <v>94</v>
      </c>
      <c r="C33" s="6" t="s">
        <v>117</v>
      </c>
      <c r="D33" s="6" t="s">
        <v>215</v>
      </c>
      <c r="E33" s="6">
        <v>1900000</v>
      </c>
      <c r="F33" s="6" t="s">
        <v>216</v>
      </c>
    </row>
    <row r="34" spans="1:6" ht="15" customHeight="1" x14ac:dyDescent="0.2">
      <c r="A34" s="6" t="s">
        <v>217</v>
      </c>
      <c r="B34" s="6" t="s">
        <v>94</v>
      </c>
      <c r="C34" s="6" t="s">
        <v>218</v>
      </c>
      <c r="D34" s="6" t="s">
        <v>219</v>
      </c>
      <c r="E34" s="6">
        <v>2200000</v>
      </c>
      <c r="F34" s="6" t="s">
        <v>220</v>
      </c>
    </row>
    <row r="35" spans="1:6" ht="15" customHeight="1" x14ac:dyDescent="0.2">
      <c r="A35" s="6" t="s">
        <v>221</v>
      </c>
      <c r="B35" s="6" t="s">
        <v>94</v>
      </c>
      <c r="C35" s="6" t="s">
        <v>129</v>
      </c>
      <c r="D35" s="6" t="s">
        <v>222</v>
      </c>
      <c r="E35" s="6">
        <v>1600000</v>
      </c>
      <c r="F35" s="6"/>
    </row>
    <row r="36" spans="1:6" ht="15" customHeight="1" x14ac:dyDescent="0.2">
      <c r="A36" s="6" t="s">
        <v>223</v>
      </c>
      <c r="B36" s="6" t="s">
        <v>94</v>
      </c>
      <c r="C36" s="6" t="s">
        <v>224</v>
      </c>
      <c r="D36" s="6" t="s">
        <v>225</v>
      </c>
      <c r="E36" s="6">
        <v>950000</v>
      </c>
      <c r="F36" s="6"/>
    </row>
    <row r="37" spans="1:6" ht="15" customHeight="1" x14ac:dyDescent="0.2">
      <c r="A37" s="6" t="s">
        <v>226</v>
      </c>
      <c r="B37" s="6" t="s">
        <v>94</v>
      </c>
      <c r="C37" s="6" t="s">
        <v>227</v>
      </c>
      <c r="D37" s="6" t="s">
        <v>228</v>
      </c>
      <c r="E37" s="6">
        <v>1400000</v>
      </c>
      <c r="F37" s="6" t="s">
        <v>123</v>
      </c>
    </row>
    <row r="38" spans="1:6" ht="15" customHeight="1" x14ac:dyDescent="0.2">
      <c r="A38" s="6" t="s">
        <v>229</v>
      </c>
      <c r="B38" s="6" t="s">
        <v>94</v>
      </c>
      <c r="C38" s="6" t="s">
        <v>145</v>
      </c>
      <c r="D38" s="6" t="s">
        <v>230</v>
      </c>
      <c r="E38" s="6">
        <v>800000</v>
      </c>
      <c r="F38" s="6"/>
    </row>
    <row r="39" spans="1:6" ht="15" customHeight="1" x14ac:dyDescent="0.2">
      <c r="A39" s="6" t="s">
        <v>231</v>
      </c>
      <c r="B39" s="6" t="s">
        <v>99</v>
      </c>
      <c r="C39" s="6" t="s">
        <v>101</v>
      </c>
      <c r="D39" s="6" t="s">
        <v>101</v>
      </c>
      <c r="E39" s="6">
        <v>3900000</v>
      </c>
      <c r="F39" s="6" t="s">
        <v>232</v>
      </c>
    </row>
    <row r="40" spans="1:6" ht="15" customHeight="1" x14ac:dyDescent="0.2">
      <c r="A40" s="6" t="s">
        <v>233</v>
      </c>
      <c r="B40" s="6" t="s">
        <v>99</v>
      </c>
      <c r="C40" s="6" t="s">
        <v>234</v>
      </c>
      <c r="D40" s="6" t="s">
        <v>234</v>
      </c>
      <c r="E40" s="6">
        <v>1800000</v>
      </c>
      <c r="F40" s="6" t="s">
        <v>235</v>
      </c>
    </row>
    <row r="41" spans="1:6" ht="15" customHeight="1" x14ac:dyDescent="0.2">
      <c r="A41" s="6" t="s">
        <v>236</v>
      </c>
      <c r="B41" s="6" t="s">
        <v>99</v>
      </c>
      <c r="C41" s="6" t="s">
        <v>237</v>
      </c>
      <c r="D41" s="6" t="s">
        <v>237</v>
      </c>
      <c r="E41" s="6">
        <v>900000</v>
      </c>
      <c r="F41" s="6"/>
    </row>
    <row r="42" spans="1:6" ht="15" customHeight="1" x14ac:dyDescent="0.2">
      <c r="A42" s="6" t="s">
        <v>238</v>
      </c>
      <c r="B42" s="6" t="s">
        <v>99</v>
      </c>
      <c r="C42" s="6" t="s">
        <v>239</v>
      </c>
      <c r="D42" s="6" t="s">
        <v>239</v>
      </c>
      <c r="E42" s="6">
        <v>750000</v>
      </c>
      <c r="F42" s="6"/>
    </row>
    <row r="43" spans="1:6" ht="15" customHeight="1" x14ac:dyDescent="0.2">
      <c r="A43" s="6" t="s">
        <v>240</v>
      </c>
      <c r="B43" s="6" t="s">
        <v>99</v>
      </c>
      <c r="C43" s="6" t="s">
        <v>241</v>
      </c>
      <c r="D43" s="6" t="s">
        <v>241</v>
      </c>
      <c r="E43" s="6">
        <v>1200000</v>
      </c>
      <c r="F43" s="6"/>
    </row>
    <row r="44" spans="1:6" ht="15" customHeight="1" x14ac:dyDescent="0.2">
      <c r="A44" s="6" t="s">
        <v>242</v>
      </c>
      <c r="B44" s="6" t="s">
        <v>99</v>
      </c>
      <c r="C44" s="6" t="s">
        <v>243</v>
      </c>
      <c r="D44" s="6" t="s">
        <v>243</v>
      </c>
      <c r="E44" s="6">
        <v>200000</v>
      </c>
      <c r="F44" s="6" t="s">
        <v>244</v>
      </c>
    </row>
    <row r="45" spans="1:6" ht="15" customHeight="1" x14ac:dyDescent="0.2">
      <c r="A45" s="6" t="s">
        <v>245</v>
      </c>
      <c r="B45" s="6" t="s">
        <v>99</v>
      </c>
      <c r="C45" s="6" t="s">
        <v>246</v>
      </c>
      <c r="D45" s="6" t="s">
        <v>246</v>
      </c>
      <c r="E45" s="6">
        <v>850000</v>
      </c>
      <c r="F45" s="6" t="s">
        <v>247</v>
      </c>
    </row>
    <row r="46" spans="1:6" ht="15" customHeight="1" x14ac:dyDescent="0.2">
      <c r="A46" s="6" t="s">
        <v>248</v>
      </c>
      <c r="B46" s="6" t="s">
        <v>99</v>
      </c>
      <c r="C46" s="6" t="s">
        <v>249</v>
      </c>
      <c r="D46" s="6" t="s">
        <v>249</v>
      </c>
      <c r="E46" s="6">
        <v>1100000</v>
      </c>
      <c r="F46" s="6"/>
    </row>
    <row r="47" spans="1:6" ht="15" customHeight="1" x14ac:dyDescent="0.2">
      <c r="A47" s="6" t="s">
        <v>250</v>
      </c>
      <c r="B47" s="6" t="s">
        <v>99</v>
      </c>
      <c r="C47" s="6" t="s">
        <v>251</v>
      </c>
      <c r="D47" s="6" t="s">
        <v>251</v>
      </c>
      <c r="E47" s="6">
        <v>750000</v>
      </c>
      <c r="F47" s="6" t="s">
        <v>129</v>
      </c>
    </row>
    <row r="48" spans="1:6" ht="15" customHeight="1" x14ac:dyDescent="0.2">
      <c r="A48" s="6" t="s">
        <v>252</v>
      </c>
      <c r="B48" s="6" t="s">
        <v>99</v>
      </c>
      <c r="C48" s="6" t="s">
        <v>253</v>
      </c>
      <c r="D48" s="6" t="s">
        <v>253</v>
      </c>
      <c r="E48" s="6">
        <v>1100000</v>
      </c>
      <c r="F48" s="6" t="s">
        <v>254</v>
      </c>
    </row>
    <row r="49" spans="1:6" ht="15" customHeight="1" x14ac:dyDescent="0.2">
      <c r="A49" s="6" t="s">
        <v>255</v>
      </c>
      <c r="B49" s="6" t="s">
        <v>99</v>
      </c>
      <c r="C49" s="6" t="s">
        <v>256</v>
      </c>
      <c r="D49" s="6" t="s">
        <v>256</v>
      </c>
      <c r="E49" s="6">
        <v>550000</v>
      </c>
      <c r="F49" s="6" t="s">
        <v>247</v>
      </c>
    </row>
    <row r="50" spans="1:6" ht="15" customHeight="1" x14ac:dyDescent="0.2">
      <c r="A50" s="6" t="s">
        <v>257</v>
      </c>
      <c r="B50" s="6" t="s">
        <v>99</v>
      </c>
      <c r="C50" s="6" t="s">
        <v>258</v>
      </c>
      <c r="D50" s="6" t="s">
        <v>258</v>
      </c>
      <c r="E50" s="6">
        <v>850000</v>
      </c>
      <c r="F50" s="6" t="s">
        <v>117</v>
      </c>
    </row>
    <row r="51" spans="1:6" ht="15" customHeight="1" x14ac:dyDescent="0.2">
      <c r="A51" s="6" t="s">
        <v>259</v>
      </c>
      <c r="B51" s="6" t="s">
        <v>99</v>
      </c>
      <c r="C51" s="6" t="s">
        <v>260</v>
      </c>
      <c r="D51" s="6" t="s">
        <v>260</v>
      </c>
      <c r="E51" s="6">
        <v>2200000</v>
      </c>
      <c r="F51" s="6" t="s">
        <v>261</v>
      </c>
    </row>
    <row r="52" spans="1:6" ht="15" customHeight="1" x14ac:dyDescent="0.2">
      <c r="A52" s="6" t="s">
        <v>262</v>
      </c>
      <c r="B52" s="6" t="s">
        <v>99</v>
      </c>
      <c r="C52" s="6" t="s">
        <v>263</v>
      </c>
      <c r="D52" s="6" t="s">
        <v>263</v>
      </c>
      <c r="E52" s="6">
        <v>700000</v>
      </c>
      <c r="F52" s="6" t="s">
        <v>247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"/>
  <sheetViews>
    <sheetView topLeftCell="A13" zoomScaleNormal="100" workbookViewId="0"/>
  </sheetViews>
  <sheetFormatPr baseColWidth="10" defaultColWidth="8.6640625" defaultRowHeight="15" x14ac:dyDescent="0.2"/>
  <cols>
    <col min="1" max="1" width="12" customWidth="1"/>
    <col min="2" max="2" width="14" customWidth="1"/>
    <col min="3" max="3" width="12" customWidth="1"/>
    <col min="4" max="4" width="22" customWidth="1"/>
    <col min="5" max="5" width="16" customWidth="1"/>
    <col min="6" max="7" width="12" customWidth="1"/>
    <col min="8" max="8" width="18" customWidth="1"/>
    <col min="9" max="10" width="16" customWidth="1"/>
  </cols>
  <sheetData>
    <row r="1" spans="1:10" ht="26.25" customHeight="1" x14ac:dyDescent="0.2">
      <c r="A1" s="5" t="s">
        <v>264</v>
      </c>
      <c r="B1" s="5" t="s">
        <v>60</v>
      </c>
      <c r="C1" s="5" t="s">
        <v>104</v>
      </c>
      <c r="D1" s="5" t="s">
        <v>265</v>
      </c>
      <c r="E1" s="5" t="s">
        <v>107</v>
      </c>
      <c r="F1" s="5" t="s">
        <v>266</v>
      </c>
      <c r="G1" s="5" t="s">
        <v>267</v>
      </c>
      <c r="H1" s="5" t="s">
        <v>268</v>
      </c>
      <c r="I1" s="5" t="s">
        <v>269</v>
      </c>
      <c r="J1" s="5" t="s">
        <v>270</v>
      </c>
    </row>
    <row r="2" spans="1:10" ht="15" customHeight="1" x14ac:dyDescent="0.2">
      <c r="A2" s="6" t="s">
        <v>271</v>
      </c>
      <c r="B2" s="6" t="s">
        <v>72</v>
      </c>
      <c r="C2" s="6" t="s">
        <v>113</v>
      </c>
      <c r="D2" s="6" t="s">
        <v>75</v>
      </c>
      <c r="E2" s="6">
        <v>4400000</v>
      </c>
      <c r="F2" s="6">
        <v>3.8479999999999999</v>
      </c>
      <c r="G2" s="6">
        <v>11.502000000000001</v>
      </c>
      <c r="H2" s="6" t="b">
        <f>TRUE()</f>
        <v>1</v>
      </c>
      <c r="I2" s="6" t="b">
        <f>TRUE()</f>
        <v>1</v>
      </c>
      <c r="J2" s="6">
        <v>10</v>
      </c>
    </row>
    <row r="3" spans="1:10" ht="15" customHeight="1" x14ac:dyDescent="0.2">
      <c r="A3" s="6" t="s">
        <v>272</v>
      </c>
      <c r="B3" s="6" t="s">
        <v>72</v>
      </c>
      <c r="C3" s="6" t="s">
        <v>124</v>
      </c>
      <c r="D3" s="6" t="s">
        <v>126</v>
      </c>
      <c r="E3" s="6">
        <v>3500000</v>
      </c>
      <c r="F3" s="6">
        <v>4.048</v>
      </c>
      <c r="G3" s="6">
        <v>9.6999999999999993</v>
      </c>
      <c r="H3" s="6" t="b">
        <f>FALSE()</f>
        <v>0</v>
      </c>
      <c r="I3" s="6" t="b">
        <f>TRUE()</f>
        <v>1</v>
      </c>
      <c r="J3" s="6">
        <v>10</v>
      </c>
    </row>
    <row r="4" spans="1:10" ht="15" customHeight="1" x14ac:dyDescent="0.2">
      <c r="A4" s="6" t="s">
        <v>273</v>
      </c>
      <c r="B4" s="6" t="s">
        <v>72</v>
      </c>
      <c r="C4" s="6" t="s">
        <v>132</v>
      </c>
      <c r="D4" s="6" t="s">
        <v>134</v>
      </c>
      <c r="E4" s="6">
        <v>500000</v>
      </c>
      <c r="F4" s="6">
        <v>5.96</v>
      </c>
      <c r="G4" s="6">
        <v>10.146000000000001</v>
      </c>
      <c r="H4" s="6" t="b">
        <f>FALSE()</f>
        <v>0</v>
      </c>
      <c r="I4" s="6" t="b">
        <f>TRUE()</f>
        <v>1</v>
      </c>
      <c r="J4" s="6">
        <v>6</v>
      </c>
    </row>
    <row r="5" spans="1:10" ht="15" customHeight="1" x14ac:dyDescent="0.2">
      <c r="A5" s="6" t="s">
        <v>274</v>
      </c>
      <c r="B5" s="6" t="s">
        <v>72</v>
      </c>
      <c r="C5" s="6" t="s">
        <v>136</v>
      </c>
      <c r="D5" s="6" t="s">
        <v>138</v>
      </c>
      <c r="E5" s="6">
        <v>400000</v>
      </c>
      <c r="F5" s="6">
        <v>5.4779999999999998</v>
      </c>
      <c r="G5" s="6">
        <v>10.417999999999999</v>
      </c>
      <c r="H5" s="6" t="b">
        <f>FALSE()</f>
        <v>0</v>
      </c>
      <c r="I5" s="6" t="b">
        <f>TRUE()</f>
        <v>1</v>
      </c>
      <c r="J5" s="6">
        <v>6</v>
      </c>
    </row>
    <row r="6" spans="1:10" ht="15" customHeight="1" x14ac:dyDescent="0.2">
      <c r="A6" s="6" t="s">
        <v>275</v>
      </c>
      <c r="B6" s="6" t="s">
        <v>72</v>
      </c>
      <c r="C6" s="6" t="s">
        <v>128</v>
      </c>
      <c r="D6" s="6" t="s">
        <v>130</v>
      </c>
      <c r="E6" s="6">
        <v>440000</v>
      </c>
      <c r="F6" s="6">
        <v>9.3019999999999996</v>
      </c>
      <c r="G6" s="6">
        <v>13.398</v>
      </c>
      <c r="H6" s="6" t="b">
        <f>FALSE()</f>
        <v>0</v>
      </c>
      <c r="I6" s="6" t="b">
        <f>TRUE()</f>
        <v>1</v>
      </c>
      <c r="J6" s="6">
        <v>6</v>
      </c>
    </row>
    <row r="7" spans="1:10" ht="15" customHeight="1" x14ac:dyDescent="0.2">
      <c r="A7" s="6" t="s">
        <v>276</v>
      </c>
      <c r="B7" s="6" t="s">
        <v>72</v>
      </c>
      <c r="C7" s="6" t="s">
        <v>120</v>
      </c>
      <c r="D7" s="6" t="s">
        <v>122</v>
      </c>
      <c r="E7" s="6">
        <v>320000</v>
      </c>
      <c r="F7" s="6">
        <v>10.590999999999999</v>
      </c>
      <c r="G7" s="6">
        <v>14.315</v>
      </c>
      <c r="H7" s="6" t="b">
        <f>FALSE()</f>
        <v>0</v>
      </c>
      <c r="I7" s="6" t="b">
        <f>TRUE()</f>
        <v>1</v>
      </c>
      <c r="J7" s="6">
        <v>5</v>
      </c>
    </row>
    <row r="8" spans="1:10" ht="15" customHeight="1" x14ac:dyDescent="0.2">
      <c r="A8" s="6" t="s">
        <v>277</v>
      </c>
      <c r="B8" s="6" t="s">
        <v>72</v>
      </c>
      <c r="C8" s="6" t="s">
        <v>109</v>
      </c>
      <c r="D8" s="6" t="s">
        <v>111</v>
      </c>
      <c r="E8" s="6">
        <v>230000</v>
      </c>
      <c r="F8" s="6">
        <v>7.3159999999999998</v>
      </c>
      <c r="G8" s="6">
        <v>13.583</v>
      </c>
      <c r="H8" s="6" t="b">
        <f>FALSE()</f>
        <v>0</v>
      </c>
      <c r="I8" s="6" t="b">
        <f>TRUE()</f>
        <v>1</v>
      </c>
      <c r="J8" s="6">
        <v>5</v>
      </c>
    </row>
    <row r="9" spans="1:10" ht="15" customHeight="1" x14ac:dyDescent="0.2">
      <c r="A9" s="6" t="s">
        <v>278</v>
      </c>
      <c r="B9" s="6" t="s">
        <v>72</v>
      </c>
      <c r="C9" s="6" t="s">
        <v>116</v>
      </c>
      <c r="D9" s="6" t="s">
        <v>118</v>
      </c>
      <c r="E9" s="6">
        <v>200000</v>
      </c>
      <c r="F9" s="6">
        <v>4.577</v>
      </c>
      <c r="G9" s="6">
        <v>13.685</v>
      </c>
      <c r="H9" s="6" t="b">
        <f>FALSE()</f>
        <v>0</v>
      </c>
      <c r="I9" s="6" t="b">
        <f>TRUE()</f>
        <v>1</v>
      </c>
      <c r="J9" s="6">
        <v>4</v>
      </c>
    </row>
    <row r="10" spans="1:10" ht="15" customHeight="1" x14ac:dyDescent="0.2">
      <c r="A10" s="6" t="s">
        <v>279</v>
      </c>
      <c r="B10" s="6" t="s">
        <v>72</v>
      </c>
      <c r="C10" s="6" t="s">
        <v>144</v>
      </c>
      <c r="D10" s="6" t="s">
        <v>146</v>
      </c>
      <c r="E10" s="6">
        <v>200000</v>
      </c>
      <c r="F10" s="6">
        <v>4.1550000000000002</v>
      </c>
      <c r="G10" s="6">
        <v>9.2420000000000009</v>
      </c>
      <c r="H10" s="6" t="b">
        <f>FALSE()</f>
        <v>0</v>
      </c>
      <c r="I10" s="6" t="b">
        <f>TRUE()</f>
        <v>1</v>
      </c>
      <c r="J10" s="6">
        <v>5</v>
      </c>
    </row>
    <row r="11" spans="1:10" ht="15" customHeight="1" x14ac:dyDescent="0.2">
      <c r="A11" s="6" t="s">
        <v>280</v>
      </c>
      <c r="B11" s="6" t="s">
        <v>72</v>
      </c>
      <c r="C11" s="6" t="s">
        <v>124</v>
      </c>
      <c r="D11" s="6" t="s">
        <v>281</v>
      </c>
      <c r="E11" s="6">
        <v>130000</v>
      </c>
      <c r="F11" s="6">
        <v>4.9550000000000001</v>
      </c>
      <c r="G11" s="6">
        <v>9.9380000000000006</v>
      </c>
      <c r="H11" s="6" t="b">
        <f>FALSE()</f>
        <v>0</v>
      </c>
      <c r="I11" s="6" t="b">
        <f>FALSE()</f>
        <v>0</v>
      </c>
      <c r="J11" s="6">
        <v>3</v>
      </c>
    </row>
    <row r="12" spans="1:10" ht="15" customHeight="1" x14ac:dyDescent="0.2">
      <c r="A12" s="6" t="s">
        <v>282</v>
      </c>
      <c r="B12" s="6" t="s">
        <v>72</v>
      </c>
      <c r="C12" s="6" t="s">
        <v>144</v>
      </c>
      <c r="D12" s="6" t="s">
        <v>283</v>
      </c>
      <c r="E12" s="6">
        <v>100000</v>
      </c>
      <c r="F12" s="6">
        <v>4.0229999999999997</v>
      </c>
      <c r="G12" s="6">
        <v>9.2080000000000002</v>
      </c>
      <c r="H12" s="6" t="b">
        <f>FALSE()</f>
        <v>0</v>
      </c>
      <c r="I12" s="6" t="b">
        <f>FALSE()</f>
        <v>0</v>
      </c>
      <c r="J12" s="6">
        <v>4</v>
      </c>
    </row>
    <row r="13" spans="1:10" ht="15" customHeight="1" x14ac:dyDescent="0.2">
      <c r="A13" s="6" t="s">
        <v>284</v>
      </c>
      <c r="B13" s="6" t="s">
        <v>72</v>
      </c>
      <c r="C13" s="6" t="s">
        <v>140</v>
      </c>
      <c r="D13" s="6" t="s">
        <v>285</v>
      </c>
      <c r="E13" s="6">
        <v>85000</v>
      </c>
      <c r="F13" s="6">
        <v>2.9369999999999998</v>
      </c>
      <c r="G13" s="6">
        <v>9.91</v>
      </c>
      <c r="H13" s="6" t="b">
        <f>FALSE()</f>
        <v>0</v>
      </c>
      <c r="I13" s="6" t="b">
        <f>FALSE()</f>
        <v>0</v>
      </c>
      <c r="J13" s="6">
        <v>4</v>
      </c>
    </row>
    <row r="14" spans="1:10" ht="15" customHeight="1" x14ac:dyDescent="0.2">
      <c r="A14" s="6" t="s">
        <v>286</v>
      </c>
      <c r="B14" s="6" t="s">
        <v>83</v>
      </c>
      <c r="C14" s="6" t="s">
        <v>148</v>
      </c>
      <c r="D14" s="6" t="s">
        <v>150</v>
      </c>
      <c r="E14" s="6">
        <v>5300000</v>
      </c>
      <c r="F14" s="6">
        <v>5.36</v>
      </c>
      <c r="G14" s="6">
        <v>-4.008</v>
      </c>
      <c r="H14" s="6" t="b">
        <f>FALSE()</f>
        <v>0</v>
      </c>
      <c r="I14" s="6" t="b">
        <f>TRUE()</f>
        <v>1</v>
      </c>
      <c r="J14" s="6">
        <v>10</v>
      </c>
    </row>
    <row r="15" spans="1:10" ht="15" customHeight="1" x14ac:dyDescent="0.2">
      <c r="A15" s="6" t="s">
        <v>287</v>
      </c>
      <c r="B15" s="6" t="s">
        <v>83</v>
      </c>
      <c r="C15" s="6" t="s">
        <v>184</v>
      </c>
      <c r="D15" s="6" t="s">
        <v>186</v>
      </c>
      <c r="E15" s="6">
        <v>830000</v>
      </c>
      <c r="F15" s="6">
        <v>7.694</v>
      </c>
      <c r="G15" s="6">
        <v>-5.03</v>
      </c>
      <c r="H15" s="6" t="b">
        <f>FALSE()</f>
        <v>0</v>
      </c>
      <c r="I15" s="6" t="b">
        <f>TRUE()</f>
        <v>1</v>
      </c>
      <c r="J15" s="6">
        <v>7</v>
      </c>
    </row>
    <row r="16" spans="1:10" ht="15" customHeight="1" x14ac:dyDescent="0.2">
      <c r="A16" s="6" t="s">
        <v>288</v>
      </c>
      <c r="B16" s="6" t="s">
        <v>83</v>
      </c>
      <c r="C16" s="6" t="s">
        <v>151</v>
      </c>
      <c r="D16" s="6" t="s">
        <v>86</v>
      </c>
      <c r="E16" s="6">
        <v>230000</v>
      </c>
      <c r="F16" s="6">
        <v>6.827</v>
      </c>
      <c r="G16" s="6">
        <v>-5.29</v>
      </c>
      <c r="H16" s="6" t="b">
        <f>TRUE()</f>
        <v>1</v>
      </c>
      <c r="I16" s="6" t="b">
        <f>TRUE()</f>
        <v>1</v>
      </c>
      <c r="J16" s="6">
        <v>5</v>
      </c>
    </row>
    <row r="17" spans="1:10" ht="15" customHeight="1" x14ac:dyDescent="0.2">
      <c r="A17" s="6" t="s">
        <v>289</v>
      </c>
      <c r="B17" s="6" t="s">
        <v>83</v>
      </c>
      <c r="C17" s="6" t="s">
        <v>177</v>
      </c>
      <c r="D17" s="6" t="s">
        <v>179</v>
      </c>
      <c r="E17" s="6">
        <v>320000</v>
      </c>
      <c r="F17" s="6">
        <v>6.8769999999999998</v>
      </c>
      <c r="G17" s="6">
        <v>-6.45</v>
      </c>
      <c r="H17" s="6" t="b">
        <f>FALSE()</f>
        <v>0</v>
      </c>
      <c r="I17" s="6" t="b">
        <f>TRUE()</f>
        <v>1</v>
      </c>
      <c r="J17" s="6">
        <v>6</v>
      </c>
    </row>
    <row r="18" spans="1:10" ht="15" customHeight="1" x14ac:dyDescent="0.2">
      <c r="A18" s="6" t="s">
        <v>290</v>
      </c>
      <c r="B18" s="6" t="s">
        <v>83</v>
      </c>
      <c r="C18" s="6" t="s">
        <v>180</v>
      </c>
      <c r="D18" s="6" t="s">
        <v>182</v>
      </c>
      <c r="E18" s="6">
        <v>280000</v>
      </c>
      <c r="F18" s="6">
        <v>9.4580000000000002</v>
      </c>
      <c r="G18" s="6">
        <v>-5.6289999999999996</v>
      </c>
      <c r="H18" s="6" t="b">
        <f>FALSE()</f>
        <v>0</v>
      </c>
      <c r="I18" s="6" t="b">
        <f>TRUE()</f>
        <v>1</v>
      </c>
      <c r="J18" s="6">
        <v>5</v>
      </c>
    </row>
    <row r="19" spans="1:10" ht="15" customHeight="1" x14ac:dyDescent="0.2">
      <c r="A19" s="6" t="s">
        <v>291</v>
      </c>
      <c r="B19" s="6" t="s">
        <v>83</v>
      </c>
      <c r="C19" s="6" t="s">
        <v>153</v>
      </c>
      <c r="D19" s="6" t="s">
        <v>155</v>
      </c>
      <c r="E19" s="6">
        <v>300000</v>
      </c>
      <c r="F19" s="6">
        <v>4.7489999999999997</v>
      </c>
      <c r="G19" s="6">
        <v>-6.6369999999999996</v>
      </c>
      <c r="H19" s="6" t="b">
        <f>FALSE()</f>
        <v>0</v>
      </c>
      <c r="I19" s="6" t="b">
        <f>TRUE()</f>
        <v>1</v>
      </c>
      <c r="J19" s="6">
        <v>6</v>
      </c>
    </row>
    <row r="20" spans="1:10" ht="15" customHeight="1" x14ac:dyDescent="0.2">
      <c r="A20" s="6" t="s">
        <v>292</v>
      </c>
      <c r="B20" s="6" t="s">
        <v>83</v>
      </c>
      <c r="C20" s="6" t="s">
        <v>174</v>
      </c>
      <c r="D20" s="6" t="s">
        <v>176</v>
      </c>
      <c r="E20" s="6">
        <v>190000</v>
      </c>
      <c r="F20" s="6">
        <v>7.4119999999999999</v>
      </c>
      <c r="G20" s="6">
        <v>-7.5540000000000003</v>
      </c>
      <c r="H20" s="6" t="b">
        <f>FALSE()</f>
        <v>0</v>
      </c>
      <c r="I20" s="6" t="b">
        <f>TRUE()</f>
        <v>1</v>
      </c>
      <c r="J20" s="6">
        <v>4</v>
      </c>
    </row>
    <row r="21" spans="1:10" ht="15" customHeight="1" x14ac:dyDescent="0.2">
      <c r="A21" s="6" t="s">
        <v>293</v>
      </c>
      <c r="B21" s="6" t="s">
        <v>83</v>
      </c>
      <c r="C21" s="6" t="s">
        <v>165</v>
      </c>
      <c r="D21" s="6" t="s">
        <v>167</v>
      </c>
      <c r="E21" s="6">
        <v>170000</v>
      </c>
      <c r="F21" s="6">
        <v>6.1319999999999997</v>
      </c>
      <c r="G21" s="6">
        <v>-5.9509999999999996</v>
      </c>
      <c r="H21" s="6" t="b">
        <f>FALSE()</f>
        <v>0</v>
      </c>
      <c r="I21" s="6" t="b">
        <f>TRUE()</f>
        <v>1</v>
      </c>
      <c r="J21" s="6">
        <v>4</v>
      </c>
    </row>
    <row r="22" spans="1:10" ht="15" customHeight="1" x14ac:dyDescent="0.2">
      <c r="A22" s="6" t="s">
        <v>294</v>
      </c>
      <c r="B22" s="6" t="s">
        <v>83</v>
      </c>
      <c r="C22" s="6" t="s">
        <v>157</v>
      </c>
      <c r="D22" s="6" t="s">
        <v>159</v>
      </c>
      <c r="E22" s="6">
        <v>120000</v>
      </c>
      <c r="F22" s="6">
        <v>6.7290000000000001</v>
      </c>
      <c r="G22" s="6">
        <v>-3.4940000000000002</v>
      </c>
      <c r="H22" s="6" t="b">
        <f>FALSE()</f>
        <v>0</v>
      </c>
      <c r="I22" s="6" t="b">
        <f>TRUE()</f>
        <v>1</v>
      </c>
      <c r="J22" s="6">
        <v>4</v>
      </c>
    </row>
    <row r="23" spans="1:10" ht="15" customHeight="1" x14ac:dyDescent="0.2">
      <c r="A23" s="6" t="s">
        <v>295</v>
      </c>
      <c r="B23" s="6" t="s">
        <v>83</v>
      </c>
      <c r="C23" s="6" t="s">
        <v>168</v>
      </c>
      <c r="D23" s="6" t="s">
        <v>170</v>
      </c>
      <c r="E23" s="6">
        <v>90000</v>
      </c>
      <c r="F23" s="6">
        <v>6.6529999999999996</v>
      </c>
      <c r="G23" s="6">
        <v>-4.7060000000000004</v>
      </c>
      <c r="H23" s="6" t="b">
        <f>FALSE()</f>
        <v>0</v>
      </c>
      <c r="I23" s="6" t="b">
        <f>TRUE()</f>
        <v>1</v>
      </c>
      <c r="J23" s="6">
        <v>3</v>
      </c>
    </row>
    <row r="24" spans="1:10" ht="15" customHeight="1" x14ac:dyDescent="0.2">
      <c r="A24" s="6" t="s">
        <v>296</v>
      </c>
      <c r="B24" s="6" t="s">
        <v>83</v>
      </c>
      <c r="C24" s="6" t="s">
        <v>171</v>
      </c>
      <c r="D24" s="6" t="s">
        <v>173</v>
      </c>
      <c r="E24" s="6">
        <v>105000</v>
      </c>
      <c r="F24" s="6">
        <v>5.3230000000000004</v>
      </c>
      <c r="G24" s="6">
        <v>-4.383</v>
      </c>
      <c r="H24" s="6" t="b">
        <f>FALSE()</f>
        <v>0</v>
      </c>
      <c r="I24" s="6" t="b">
        <f>TRUE()</f>
        <v>1</v>
      </c>
      <c r="J24" s="6">
        <v>3</v>
      </c>
    </row>
    <row r="25" spans="1:10" ht="15" customHeight="1" x14ac:dyDescent="0.2">
      <c r="A25" s="6" t="s">
        <v>297</v>
      </c>
      <c r="B25" s="6" t="s">
        <v>83</v>
      </c>
      <c r="C25" s="6" t="s">
        <v>190</v>
      </c>
      <c r="D25" s="6" t="s">
        <v>192</v>
      </c>
      <c r="E25" s="6">
        <v>120000</v>
      </c>
      <c r="F25" s="6">
        <v>8.0410000000000004</v>
      </c>
      <c r="G25" s="6">
        <v>-2.798</v>
      </c>
      <c r="H25" s="6" t="b">
        <f>FALSE()</f>
        <v>0</v>
      </c>
      <c r="I25" s="6" t="b">
        <f>TRUE()</f>
        <v>1</v>
      </c>
      <c r="J25" s="6">
        <v>3</v>
      </c>
    </row>
    <row r="26" spans="1:10" ht="15" customHeight="1" x14ac:dyDescent="0.2">
      <c r="A26" s="6" t="s">
        <v>298</v>
      </c>
      <c r="B26" s="6" t="s">
        <v>94</v>
      </c>
      <c r="C26" s="6" t="s">
        <v>200</v>
      </c>
      <c r="D26" s="6" t="s">
        <v>96</v>
      </c>
      <c r="E26" s="6">
        <v>2400000</v>
      </c>
      <c r="F26" s="6">
        <v>12.371</v>
      </c>
      <c r="G26" s="6">
        <v>-1.52</v>
      </c>
      <c r="H26" s="6" t="b">
        <f>TRUE()</f>
        <v>1</v>
      </c>
      <c r="I26" s="6" t="b">
        <f>TRUE()</f>
        <v>1</v>
      </c>
      <c r="J26" s="6">
        <v>10</v>
      </c>
    </row>
    <row r="27" spans="1:10" ht="15" customHeight="1" x14ac:dyDescent="0.2">
      <c r="A27" s="6" t="s">
        <v>299</v>
      </c>
      <c r="B27" s="6" t="s">
        <v>94</v>
      </c>
      <c r="C27" s="6" t="s">
        <v>217</v>
      </c>
      <c r="D27" s="6" t="s">
        <v>219</v>
      </c>
      <c r="E27" s="6">
        <v>1000000</v>
      </c>
      <c r="F27" s="6">
        <v>11.178000000000001</v>
      </c>
      <c r="G27" s="6">
        <v>-4.2969999999999997</v>
      </c>
      <c r="H27" s="6" t="b">
        <f>FALSE()</f>
        <v>0</v>
      </c>
      <c r="I27" s="6" t="b">
        <f>TRUE()</f>
        <v>1</v>
      </c>
      <c r="J27" s="6">
        <v>8</v>
      </c>
    </row>
    <row r="28" spans="1:10" ht="15" customHeight="1" x14ac:dyDescent="0.2">
      <c r="A28" s="6" t="s">
        <v>300</v>
      </c>
      <c r="B28" s="6" t="s">
        <v>94</v>
      </c>
      <c r="C28" s="6" t="s">
        <v>208</v>
      </c>
      <c r="D28" s="6" t="s">
        <v>210</v>
      </c>
      <c r="E28" s="6">
        <v>160000</v>
      </c>
      <c r="F28" s="6">
        <v>12.253</v>
      </c>
      <c r="G28" s="6">
        <v>-2.3620000000000001</v>
      </c>
      <c r="H28" s="6" t="b">
        <f>FALSE()</f>
        <v>0</v>
      </c>
      <c r="I28" s="6" t="b">
        <f>TRUE()</f>
        <v>1</v>
      </c>
      <c r="J28" s="6">
        <v>5</v>
      </c>
    </row>
    <row r="29" spans="1:10" ht="15" customHeight="1" x14ac:dyDescent="0.2">
      <c r="A29" s="6" t="s">
        <v>301</v>
      </c>
      <c r="B29" s="6" t="s">
        <v>94</v>
      </c>
      <c r="C29" s="6" t="s">
        <v>221</v>
      </c>
      <c r="D29" s="6" t="s">
        <v>222</v>
      </c>
      <c r="E29" s="6">
        <v>130000</v>
      </c>
      <c r="F29" s="6">
        <v>13.582000000000001</v>
      </c>
      <c r="G29" s="6">
        <v>-2.4209999999999998</v>
      </c>
      <c r="H29" s="6" t="b">
        <f>FALSE()</f>
        <v>0</v>
      </c>
      <c r="I29" s="6" t="b">
        <f>TRUE()</f>
        <v>1</v>
      </c>
      <c r="J29" s="6">
        <v>5</v>
      </c>
    </row>
    <row r="30" spans="1:10" ht="15" customHeight="1" x14ac:dyDescent="0.2">
      <c r="A30" s="6" t="s">
        <v>302</v>
      </c>
      <c r="B30" s="6" t="s">
        <v>94</v>
      </c>
      <c r="C30" s="6" t="s">
        <v>196</v>
      </c>
      <c r="D30" s="6" t="s">
        <v>198</v>
      </c>
      <c r="E30" s="6">
        <v>110000</v>
      </c>
      <c r="F30" s="6">
        <v>10.63</v>
      </c>
      <c r="G30" s="6">
        <v>-4.7590000000000003</v>
      </c>
      <c r="H30" s="6" t="b">
        <f>FALSE()</f>
        <v>0</v>
      </c>
      <c r="I30" s="6" t="b">
        <f>TRUE()</f>
        <v>1</v>
      </c>
      <c r="J30" s="6">
        <v>4</v>
      </c>
    </row>
    <row r="31" spans="1:10" ht="15" customHeight="1" x14ac:dyDescent="0.2">
      <c r="A31" s="6" t="s">
        <v>303</v>
      </c>
      <c r="B31" s="6" t="s">
        <v>94</v>
      </c>
      <c r="C31" s="6" t="s">
        <v>205</v>
      </c>
      <c r="D31" s="6" t="s">
        <v>207</v>
      </c>
      <c r="E31" s="6">
        <v>90000</v>
      </c>
      <c r="F31" s="6">
        <v>13.086</v>
      </c>
      <c r="G31" s="6">
        <v>-1.083</v>
      </c>
      <c r="H31" s="6" t="b">
        <f>FALSE()</f>
        <v>0</v>
      </c>
      <c r="I31" s="6" t="b">
        <f>TRUE()</f>
        <v>1</v>
      </c>
      <c r="J31" s="6">
        <v>4</v>
      </c>
    </row>
    <row r="32" spans="1:10" ht="15" customHeight="1" x14ac:dyDescent="0.2">
      <c r="A32" s="6" t="s">
        <v>304</v>
      </c>
      <c r="B32" s="6" t="s">
        <v>94</v>
      </c>
      <c r="C32" s="6" t="s">
        <v>202</v>
      </c>
      <c r="D32" s="6" t="s">
        <v>204</v>
      </c>
      <c r="E32" s="6">
        <v>55000</v>
      </c>
      <c r="F32" s="6">
        <v>11.78</v>
      </c>
      <c r="G32" s="6">
        <v>-0.36899999999999999</v>
      </c>
      <c r="H32" s="6" t="b">
        <f>FALSE()</f>
        <v>0</v>
      </c>
      <c r="I32" s="6" t="b">
        <f>TRUE()</f>
        <v>1</v>
      </c>
      <c r="J32" s="6">
        <v>3</v>
      </c>
    </row>
    <row r="33" spans="1:10" ht="15" customHeight="1" x14ac:dyDescent="0.2">
      <c r="A33" s="6" t="s">
        <v>305</v>
      </c>
      <c r="B33" s="6" t="s">
        <v>94</v>
      </c>
      <c r="C33" s="6" t="s">
        <v>214</v>
      </c>
      <c r="D33" s="6" t="s">
        <v>215</v>
      </c>
      <c r="E33" s="6">
        <v>50000</v>
      </c>
      <c r="F33" s="6">
        <v>12.061</v>
      </c>
      <c r="G33" s="6">
        <v>0.36</v>
      </c>
      <c r="H33" s="6" t="b">
        <f>FALSE()</f>
        <v>0</v>
      </c>
      <c r="I33" s="6" t="b">
        <f>TRUE()</f>
        <v>1</v>
      </c>
      <c r="J33" s="6">
        <v>3</v>
      </c>
    </row>
    <row r="34" spans="1:10" ht="15" customHeight="1" x14ac:dyDescent="0.2">
      <c r="A34" s="6" t="s">
        <v>306</v>
      </c>
      <c r="B34" s="6" t="s">
        <v>94</v>
      </c>
      <c r="C34" s="6" t="s">
        <v>193</v>
      </c>
      <c r="D34" s="6" t="s">
        <v>195</v>
      </c>
      <c r="E34" s="6">
        <v>55000</v>
      </c>
      <c r="F34" s="6">
        <v>12.462</v>
      </c>
      <c r="G34" s="6">
        <v>-3.4620000000000002</v>
      </c>
      <c r="H34" s="6" t="b">
        <f>FALSE()</f>
        <v>0</v>
      </c>
      <c r="I34" s="6" t="b">
        <f>TRUE()</f>
        <v>1</v>
      </c>
      <c r="J34" s="6">
        <v>3</v>
      </c>
    </row>
    <row r="35" spans="1:10" ht="15" customHeight="1" x14ac:dyDescent="0.2">
      <c r="A35" s="6" t="s">
        <v>307</v>
      </c>
      <c r="B35" s="6" t="s">
        <v>94</v>
      </c>
      <c r="C35" s="6" t="s">
        <v>211</v>
      </c>
      <c r="D35" s="6" t="s">
        <v>213</v>
      </c>
      <c r="E35" s="6">
        <v>40000</v>
      </c>
      <c r="F35" s="6">
        <v>11.663</v>
      </c>
      <c r="G35" s="6">
        <v>-1.075</v>
      </c>
      <c r="H35" s="6" t="b">
        <f>FALSE()</f>
        <v>0</v>
      </c>
      <c r="I35" s="6" t="b">
        <f>TRUE()</f>
        <v>1</v>
      </c>
      <c r="J35" s="6">
        <v>2</v>
      </c>
    </row>
    <row r="36" spans="1:10" ht="15" customHeight="1" x14ac:dyDescent="0.2">
      <c r="A36" s="6" t="s">
        <v>308</v>
      </c>
      <c r="B36" s="6" t="s">
        <v>94</v>
      </c>
      <c r="C36" s="6" t="s">
        <v>223</v>
      </c>
      <c r="D36" s="6" t="s">
        <v>225</v>
      </c>
      <c r="E36" s="6">
        <v>30000</v>
      </c>
      <c r="F36" s="6">
        <v>12.582000000000001</v>
      </c>
      <c r="G36" s="6">
        <v>-1.298</v>
      </c>
      <c r="H36" s="6" t="b">
        <f>FALSE()</f>
        <v>0</v>
      </c>
      <c r="I36" s="6" t="b">
        <f>TRUE()</f>
        <v>1</v>
      </c>
      <c r="J36" s="6">
        <v>2</v>
      </c>
    </row>
    <row r="37" spans="1:10" ht="15" customHeight="1" x14ac:dyDescent="0.2">
      <c r="A37" s="6" t="s">
        <v>309</v>
      </c>
      <c r="B37" s="6" t="s">
        <v>94</v>
      </c>
      <c r="C37" s="6" t="s">
        <v>226</v>
      </c>
      <c r="D37" s="6" t="s">
        <v>228</v>
      </c>
      <c r="E37" s="6">
        <v>50000</v>
      </c>
      <c r="F37" s="6">
        <v>14.036</v>
      </c>
      <c r="G37" s="6">
        <v>-3.1E-2</v>
      </c>
      <c r="H37" s="6" t="b">
        <f>FALSE()</f>
        <v>0</v>
      </c>
      <c r="I37" s="6" t="b">
        <f>TRUE()</f>
        <v>1</v>
      </c>
      <c r="J37" s="6">
        <v>3</v>
      </c>
    </row>
    <row r="38" spans="1:10" ht="15" customHeight="1" x14ac:dyDescent="0.2">
      <c r="A38" s="6" t="s">
        <v>310</v>
      </c>
      <c r="B38" s="6" t="s">
        <v>99</v>
      </c>
      <c r="C38" s="6" t="s">
        <v>231</v>
      </c>
      <c r="D38" s="6" t="s">
        <v>101</v>
      </c>
      <c r="E38" s="6">
        <v>3000000</v>
      </c>
      <c r="F38" s="6">
        <v>14.717000000000001</v>
      </c>
      <c r="G38" s="6">
        <v>-17.466999999999999</v>
      </c>
      <c r="H38" s="6" t="b">
        <f>TRUE()</f>
        <v>1</v>
      </c>
      <c r="I38" s="6" t="b">
        <f>TRUE()</f>
        <v>1</v>
      </c>
      <c r="J38" s="6">
        <v>10</v>
      </c>
    </row>
    <row r="39" spans="1:10" ht="15" customHeight="1" x14ac:dyDescent="0.2">
      <c r="A39" s="6" t="s">
        <v>311</v>
      </c>
      <c r="B39" s="6" t="s">
        <v>99</v>
      </c>
      <c r="C39" s="6" t="s">
        <v>231</v>
      </c>
      <c r="D39" s="6" t="s">
        <v>312</v>
      </c>
      <c r="E39" s="6">
        <v>1200000</v>
      </c>
      <c r="F39" s="6">
        <v>14.755000000000001</v>
      </c>
      <c r="G39" s="6">
        <v>-17.395</v>
      </c>
      <c r="H39" s="6" t="b">
        <f>FALSE()</f>
        <v>0</v>
      </c>
      <c r="I39" s="6" t="b">
        <f>FALSE()</f>
        <v>0</v>
      </c>
      <c r="J39" s="6">
        <v>7</v>
      </c>
    </row>
    <row r="40" spans="1:10" ht="15" customHeight="1" x14ac:dyDescent="0.2">
      <c r="A40" s="6" t="s">
        <v>313</v>
      </c>
      <c r="B40" s="6" t="s">
        <v>99</v>
      </c>
      <c r="C40" s="6" t="s">
        <v>233</v>
      </c>
      <c r="D40" s="6" t="s">
        <v>314</v>
      </c>
      <c r="E40" s="6">
        <v>800000</v>
      </c>
      <c r="F40" s="6">
        <v>14.867000000000001</v>
      </c>
      <c r="G40" s="6">
        <v>-15.882999999999999</v>
      </c>
      <c r="H40" s="6" t="b">
        <f>FALSE()</f>
        <v>0</v>
      </c>
      <c r="I40" s="6" t="b">
        <f>FALSE()</f>
        <v>0</v>
      </c>
      <c r="J40" s="6">
        <v>6</v>
      </c>
    </row>
    <row r="41" spans="1:10" ht="15" customHeight="1" x14ac:dyDescent="0.2">
      <c r="A41" s="6" t="s">
        <v>315</v>
      </c>
      <c r="B41" s="6" t="s">
        <v>99</v>
      </c>
      <c r="C41" s="6" t="s">
        <v>231</v>
      </c>
      <c r="D41" s="6" t="s">
        <v>316</v>
      </c>
      <c r="E41" s="6">
        <v>330000</v>
      </c>
      <c r="F41" s="6">
        <v>14.782999999999999</v>
      </c>
      <c r="G41" s="6">
        <v>-17.399999999999999</v>
      </c>
      <c r="H41" s="6" t="b">
        <f>FALSE()</f>
        <v>0</v>
      </c>
      <c r="I41" s="6" t="b">
        <f>FALSE()</f>
        <v>0</v>
      </c>
      <c r="J41" s="6">
        <v>5</v>
      </c>
    </row>
    <row r="42" spans="1:10" ht="15" customHeight="1" x14ac:dyDescent="0.2">
      <c r="A42" s="6" t="s">
        <v>317</v>
      </c>
      <c r="B42" s="6" t="s">
        <v>99</v>
      </c>
      <c r="C42" s="6" t="s">
        <v>259</v>
      </c>
      <c r="D42" s="6" t="s">
        <v>260</v>
      </c>
      <c r="E42" s="6">
        <v>320000</v>
      </c>
      <c r="F42" s="6">
        <v>14.792</v>
      </c>
      <c r="G42" s="6">
        <v>-16.925999999999998</v>
      </c>
      <c r="H42" s="6" t="b">
        <f>FALSE()</f>
        <v>0</v>
      </c>
      <c r="I42" s="6" t="b">
        <f>TRUE()</f>
        <v>1</v>
      </c>
      <c r="J42" s="6">
        <v>6</v>
      </c>
    </row>
    <row r="43" spans="1:10" ht="15" customHeight="1" x14ac:dyDescent="0.2">
      <c r="A43" s="6" t="s">
        <v>318</v>
      </c>
      <c r="B43" s="6" t="s">
        <v>99</v>
      </c>
      <c r="C43" s="6" t="s">
        <v>240</v>
      </c>
      <c r="D43" s="6" t="s">
        <v>241</v>
      </c>
      <c r="E43" s="6">
        <v>230000</v>
      </c>
      <c r="F43" s="6">
        <v>14.147</v>
      </c>
      <c r="G43" s="6">
        <v>-16.074999999999999</v>
      </c>
      <c r="H43" s="6" t="b">
        <f>FALSE()</f>
        <v>0</v>
      </c>
      <c r="I43" s="6" t="b">
        <f>TRUE()</f>
        <v>1</v>
      </c>
      <c r="J43" s="6">
        <v>5</v>
      </c>
    </row>
    <row r="44" spans="1:10" ht="15" customHeight="1" x14ac:dyDescent="0.2">
      <c r="A44" s="6" t="s">
        <v>319</v>
      </c>
      <c r="B44" s="6" t="s">
        <v>99</v>
      </c>
      <c r="C44" s="6" t="s">
        <v>259</v>
      </c>
      <c r="D44" s="6" t="s">
        <v>320</v>
      </c>
      <c r="E44" s="6">
        <v>250000</v>
      </c>
      <c r="F44" s="6">
        <v>14.416</v>
      </c>
      <c r="G44" s="6">
        <v>-16.966000000000001</v>
      </c>
      <c r="H44" s="6" t="b">
        <f>FALSE()</f>
        <v>0</v>
      </c>
      <c r="I44" s="6" t="b">
        <f>FALSE()</f>
        <v>0</v>
      </c>
      <c r="J44" s="6">
        <v>5</v>
      </c>
    </row>
    <row r="45" spans="1:10" ht="15" customHeight="1" x14ac:dyDescent="0.2">
      <c r="A45" s="6" t="s">
        <v>321</v>
      </c>
      <c r="B45" s="6" t="s">
        <v>99</v>
      </c>
      <c r="C45" s="6" t="s">
        <v>231</v>
      </c>
      <c r="D45" s="6" t="s">
        <v>322</v>
      </c>
      <c r="E45" s="6">
        <v>230000</v>
      </c>
      <c r="F45" s="6">
        <v>14.717000000000001</v>
      </c>
      <c r="G45" s="6">
        <v>-17.266999999999999</v>
      </c>
      <c r="H45" s="6" t="b">
        <f>FALSE()</f>
        <v>0</v>
      </c>
      <c r="I45" s="6" t="b">
        <f>FALSE()</f>
        <v>0</v>
      </c>
      <c r="J45" s="6">
        <v>5</v>
      </c>
    </row>
    <row r="46" spans="1:10" ht="15" customHeight="1" x14ac:dyDescent="0.2">
      <c r="A46" s="6" t="s">
        <v>323</v>
      </c>
      <c r="B46" s="6" t="s">
        <v>99</v>
      </c>
      <c r="C46" s="6" t="s">
        <v>252</v>
      </c>
      <c r="D46" s="6" t="s">
        <v>253</v>
      </c>
      <c r="E46" s="6">
        <v>250000</v>
      </c>
      <c r="F46" s="6">
        <v>16.033000000000001</v>
      </c>
      <c r="G46" s="6">
        <v>-16.5</v>
      </c>
      <c r="H46" s="6" t="b">
        <f>FALSE()</f>
        <v>0</v>
      </c>
      <c r="I46" s="6" t="b">
        <f>TRUE()</f>
        <v>1</v>
      </c>
      <c r="J46" s="6">
        <v>6</v>
      </c>
    </row>
    <row r="47" spans="1:10" ht="15" customHeight="1" x14ac:dyDescent="0.2">
      <c r="A47" s="6" t="s">
        <v>324</v>
      </c>
      <c r="B47" s="6" t="s">
        <v>99</v>
      </c>
      <c r="C47" s="6" t="s">
        <v>262</v>
      </c>
      <c r="D47" s="6" t="s">
        <v>263</v>
      </c>
      <c r="E47" s="6">
        <v>230000</v>
      </c>
      <c r="F47" s="6">
        <v>12.583</v>
      </c>
      <c r="G47" s="6">
        <v>-16.266999999999999</v>
      </c>
      <c r="H47" s="6" t="b">
        <f>FALSE()</f>
        <v>0</v>
      </c>
      <c r="I47" s="6" t="b">
        <f>TRUE()</f>
        <v>1</v>
      </c>
      <c r="J47" s="6">
        <v>5</v>
      </c>
    </row>
    <row r="48" spans="1:10" ht="15" customHeight="1" x14ac:dyDescent="0.2">
      <c r="A48" s="6" t="s">
        <v>325</v>
      </c>
      <c r="B48" s="6" t="s">
        <v>99</v>
      </c>
      <c r="C48" s="6" t="s">
        <v>233</v>
      </c>
      <c r="D48" s="6" t="s">
        <v>234</v>
      </c>
      <c r="E48" s="6">
        <v>110000</v>
      </c>
      <c r="F48" s="6">
        <v>14.653</v>
      </c>
      <c r="G48" s="6">
        <v>-16.228999999999999</v>
      </c>
      <c r="H48" s="6" t="b">
        <f>FALSE()</f>
        <v>0</v>
      </c>
      <c r="I48" s="6" t="b">
        <f>TRUE()</f>
        <v>1</v>
      </c>
      <c r="J48" s="6">
        <v>4</v>
      </c>
    </row>
    <row r="49" spans="1:10" ht="15" customHeight="1" x14ac:dyDescent="0.2">
      <c r="A49" s="6" t="s">
        <v>326</v>
      </c>
      <c r="B49" s="6" t="s">
        <v>99</v>
      </c>
      <c r="C49" s="6" t="s">
        <v>248</v>
      </c>
      <c r="D49" s="6" t="s">
        <v>249</v>
      </c>
      <c r="E49" s="6">
        <v>110000</v>
      </c>
      <c r="F49" s="6">
        <v>15.617000000000001</v>
      </c>
      <c r="G49" s="6">
        <v>-16.222000000000001</v>
      </c>
      <c r="H49" s="6" t="b">
        <f>FALSE()</f>
        <v>0</v>
      </c>
      <c r="I49" s="6" t="b">
        <f>TRUE()</f>
        <v>1</v>
      </c>
      <c r="J49" s="6">
        <v>3</v>
      </c>
    </row>
    <row r="50" spans="1:10" ht="15" customHeight="1" x14ac:dyDescent="0.2">
      <c r="A50" s="6" t="s">
        <v>327</v>
      </c>
      <c r="B50" s="6" t="s">
        <v>99</v>
      </c>
      <c r="C50" s="6" t="s">
        <v>257</v>
      </c>
      <c r="D50" s="6" t="s">
        <v>258</v>
      </c>
      <c r="E50" s="6">
        <v>90000</v>
      </c>
      <c r="F50" s="6">
        <v>13.773999999999999</v>
      </c>
      <c r="G50" s="6">
        <v>-13.667</v>
      </c>
      <c r="H50" s="6" t="b">
        <f>FALSE()</f>
        <v>0</v>
      </c>
      <c r="I50" s="6" t="b">
        <f>TRUE()</f>
        <v>1</v>
      </c>
      <c r="J50" s="6">
        <v>3</v>
      </c>
    </row>
    <row r="51" spans="1:10" ht="15" customHeight="1" x14ac:dyDescent="0.2">
      <c r="A51" s="6" t="s">
        <v>328</v>
      </c>
      <c r="B51" s="6" t="s">
        <v>99</v>
      </c>
      <c r="C51" s="6" t="s">
        <v>245</v>
      </c>
      <c r="D51" s="6" t="s">
        <v>246</v>
      </c>
      <c r="E51" s="6">
        <v>65000</v>
      </c>
      <c r="F51" s="6">
        <v>12.895</v>
      </c>
      <c r="G51" s="6">
        <v>-14.941000000000001</v>
      </c>
      <c r="H51" s="6" t="b">
        <f>FALSE()</f>
        <v>0</v>
      </c>
      <c r="I51" s="6" t="b">
        <f>TRUE()</f>
        <v>1</v>
      </c>
      <c r="J51" s="6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3"/>
  <sheetViews>
    <sheetView zoomScaleNormal="100" workbookViewId="0"/>
  </sheetViews>
  <sheetFormatPr baseColWidth="10" defaultColWidth="8.6640625" defaultRowHeight="15" x14ac:dyDescent="0.2"/>
  <cols>
    <col min="1" max="1" width="14" customWidth="1"/>
    <col min="2" max="2" width="12" customWidth="1"/>
    <col min="3" max="3" width="25" customWidth="1"/>
    <col min="4" max="4" width="15" customWidth="1"/>
    <col min="5" max="5" width="16" customWidth="1"/>
    <col min="6" max="6" width="40" customWidth="1"/>
  </cols>
  <sheetData>
    <row r="1" spans="1:6" ht="15" customHeight="1" x14ac:dyDescent="0.2">
      <c r="A1" s="5" t="s">
        <v>329</v>
      </c>
      <c r="B1" s="5" t="s">
        <v>264</v>
      </c>
      <c r="C1" s="5" t="s">
        <v>330</v>
      </c>
      <c r="D1" s="5" t="s">
        <v>331</v>
      </c>
      <c r="E1" s="5" t="s">
        <v>107</v>
      </c>
      <c r="F1" s="5" t="s">
        <v>108</v>
      </c>
    </row>
    <row r="2" spans="1:6" ht="15" customHeight="1" x14ac:dyDescent="0.2">
      <c r="A2" s="6" t="s">
        <v>332</v>
      </c>
      <c r="B2" s="6" t="s">
        <v>271</v>
      </c>
      <c r="C2" s="6" t="s">
        <v>333</v>
      </c>
      <c r="D2" s="6" t="s">
        <v>334</v>
      </c>
      <c r="E2" s="6">
        <v>60000</v>
      </c>
      <c r="F2" s="6" t="s">
        <v>335</v>
      </c>
    </row>
    <row r="3" spans="1:6" ht="15" customHeight="1" x14ac:dyDescent="0.2">
      <c r="A3" s="6" t="s">
        <v>336</v>
      </c>
      <c r="B3" s="6" t="s">
        <v>271</v>
      </c>
      <c r="C3" s="6" t="s">
        <v>337</v>
      </c>
      <c r="D3" s="6" t="s">
        <v>338</v>
      </c>
      <c r="E3" s="6">
        <v>80000</v>
      </c>
      <c r="F3" s="6"/>
    </row>
    <row r="4" spans="1:6" ht="15" customHeight="1" x14ac:dyDescent="0.2">
      <c r="A4" s="6" t="s">
        <v>339</v>
      </c>
      <c r="B4" s="6" t="s">
        <v>271</v>
      </c>
      <c r="C4" s="6" t="s">
        <v>340</v>
      </c>
      <c r="D4" s="6" t="s">
        <v>341</v>
      </c>
      <c r="E4" s="6">
        <v>70000</v>
      </c>
      <c r="F4" s="6"/>
    </row>
    <row r="5" spans="1:6" ht="15" customHeight="1" x14ac:dyDescent="0.2">
      <c r="A5" s="6" t="s">
        <v>342</v>
      </c>
      <c r="B5" s="6" t="s">
        <v>271</v>
      </c>
      <c r="C5" s="6" t="s">
        <v>343</v>
      </c>
      <c r="D5" s="6" t="s">
        <v>334</v>
      </c>
      <c r="E5" s="6">
        <v>90000</v>
      </c>
      <c r="F5" s="6"/>
    </row>
    <row r="6" spans="1:6" ht="15" customHeight="1" x14ac:dyDescent="0.2">
      <c r="A6" s="6" t="s">
        <v>344</v>
      </c>
      <c r="B6" s="6" t="s">
        <v>271</v>
      </c>
      <c r="C6" s="6" t="s">
        <v>345</v>
      </c>
      <c r="D6" s="6" t="s">
        <v>334</v>
      </c>
      <c r="E6" s="6">
        <v>65000</v>
      </c>
      <c r="F6" s="6"/>
    </row>
    <row r="7" spans="1:6" ht="15" customHeight="1" x14ac:dyDescent="0.2">
      <c r="A7" s="6" t="s">
        <v>346</v>
      </c>
      <c r="B7" s="6" t="s">
        <v>271</v>
      </c>
      <c r="C7" s="6" t="s">
        <v>347</v>
      </c>
      <c r="D7" s="6" t="s">
        <v>334</v>
      </c>
      <c r="E7" s="6">
        <v>200000</v>
      </c>
      <c r="F7" s="6" t="s">
        <v>348</v>
      </c>
    </row>
    <row r="8" spans="1:6" ht="15" customHeight="1" x14ac:dyDescent="0.2">
      <c r="A8" s="6" t="s">
        <v>349</v>
      </c>
      <c r="B8" s="6" t="s">
        <v>271</v>
      </c>
      <c r="C8" s="6" t="s">
        <v>350</v>
      </c>
      <c r="D8" s="6" t="s">
        <v>351</v>
      </c>
      <c r="E8" s="6">
        <v>100000</v>
      </c>
      <c r="F8" s="6"/>
    </row>
    <row r="9" spans="1:6" ht="15" customHeight="1" x14ac:dyDescent="0.2">
      <c r="A9" s="6" t="s">
        <v>352</v>
      </c>
      <c r="B9" s="6" t="s">
        <v>271</v>
      </c>
      <c r="C9" s="6" t="s">
        <v>353</v>
      </c>
      <c r="D9" s="6" t="s">
        <v>334</v>
      </c>
      <c r="E9" s="6">
        <v>120000</v>
      </c>
      <c r="F9" s="6"/>
    </row>
    <row r="10" spans="1:6" ht="15" customHeight="1" x14ac:dyDescent="0.2">
      <c r="A10" s="6" t="s">
        <v>354</v>
      </c>
      <c r="B10" s="6" t="s">
        <v>271</v>
      </c>
      <c r="C10" s="6" t="s">
        <v>355</v>
      </c>
      <c r="D10" s="6" t="s">
        <v>338</v>
      </c>
      <c r="E10" s="6">
        <v>90000</v>
      </c>
      <c r="F10" s="6"/>
    </row>
    <row r="11" spans="1:6" ht="15" customHeight="1" x14ac:dyDescent="0.2">
      <c r="A11" s="6" t="s">
        <v>356</v>
      </c>
      <c r="B11" s="6" t="s">
        <v>271</v>
      </c>
      <c r="C11" s="6" t="s">
        <v>357</v>
      </c>
      <c r="D11" s="6" t="s">
        <v>351</v>
      </c>
      <c r="E11" s="6">
        <v>110000</v>
      </c>
      <c r="F11" s="6"/>
    </row>
    <row r="12" spans="1:6" ht="15" customHeight="1" x14ac:dyDescent="0.2">
      <c r="A12" s="6" t="s">
        <v>358</v>
      </c>
      <c r="B12" s="6" t="s">
        <v>272</v>
      </c>
      <c r="C12" s="6" t="s">
        <v>359</v>
      </c>
      <c r="D12" s="6" t="s">
        <v>341</v>
      </c>
      <c r="E12" s="6">
        <v>100000</v>
      </c>
      <c r="F12" s="6" t="s">
        <v>360</v>
      </c>
    </row>
    <row r="13" spans="1:6" ht="15" customHeight="1" x14ac:dyDescent="0.2">
      <c r="A13" s="6" t="s">
        <v>361</v>
      </c>
      <c r="B13" s="6" t="s">
        <v>272</v>
      </c>
      <c r="C13" s="6" t="s">
        <v>362</v>
      </c>
      <c r="D13" s="6" t="s">
        <v>334</v>
      </c>
      <c r="E13" s="6">
        <v>45000</v>
      </c>
      <c r="F13" s="6" t="s">
        <v>363</v>
      </c>
    </row>
    <row r="14" spans="1:6" ht="15" customHeight="1" x14ac:dyDescent="0.2">
      <c r="A14" s="6" t="s">
        <v>364</v>
      </c>
      <c r="B14" s="6" t="s">
        <v>272</v>
      </c>
      <c r="C14" s="6" t="s">
        <v>365</v>
      </c>
      <c r="D14" s="6" t="s">
        <v>341</v>
      </c>
      <c r="E14" s="6">
        <v>30000</v>
      </c>
      <c r="F14" s="6" t="s">
        <v>366</v>
      </c>
    </row>
    <row r="15" spans="1:6" ht="15" customHeight="1" x14ac:dyDescent="0.2">
      <c r="A15" s="6" t="s">
        <v>367</v>
      </c>
      <c r="B15" s="6" t="s">
        <v>272</v>
      </c>
      <c r="C15" s="6" t="s">
        <v>368</v>
      </c>
      <c r="D15" s="6" t="s">
        <v>369</v>
      </c>
      <c r="E15" s="6">
        <v>250000</v>
      </c>
      <c r="F15" s="6" t="s">
        <v>370</v>
      </c>
    </row>
    <row r="16" spans="1:6" ht="15" customHeight="1" x14ac:dyDescent="0.2">
      <c r="A16" s="6" t="s">
        <v>371</v>
      </c>
      <c r="B16" s="6" t="s">
        <v>272</v>
      </c>
      <c r="C16" s="6" t="s">
        <v>372</v>
      </c>
      <c r="D16" s="6" t="s">
        <v>369</v>
      </c>
      <c r="E16" s="6">
        <v>180000</v>
      </c>
      <c r="F16" s="6"/>
    </row>
    <row r="17" spans="1:6" ht="15" customHeight="1" x14ac:dyDescent="0.2">
      <c r="A17" s="6" t="s">
        <v>373</v>
      </c>
      <c r="B17" s="6" t="s">
        <v>272</v>
      </c>
      <c r="C17" s="6" t="s">
        <v>374</v>
      </c>
      <c r="D17" s="6" t="s">
        <v>369</v>
      </c>
      <c r="E17" s="6">
        <v>200000</v>
      </c>
      <c r="F17" s="6"/>
    </row>
    <row r="18" spans="1:6" ht="15" customHeight="1" x14ac:dyDescent="0.2">
      <c r="A18" s="6" t="s">
        <v>375</v>
      </c>
      <c r="B18" s="6" t="s">
        <v>272</v>
      </c>
      <c r="C18" s="6" t="s">
        <v>376</v>
      </c>
      <c r="D18" s="6" t="s">
        <v>334</v>
      </c>
      <c r="E18" s="6">
        <v>60000</v>
      </c>
      <c r="F18" s="6"/>
    </row>
    <row r="19" spans="1:6" ht="15" customHeight="1" x14ac:dyDescent="0.2">
      <c r="A19" s="6" t="s">
        <v>377</v>
      </c>
      <c r="B19" s="6" t="s">
        <v>272</v>
      </c>
      <c r="C19" s="6" t="s">
        <v>378</v>
      </c>
      <c r="D19" s="6" t="s">
        <v>338</v>
      </c>
      <c r="E19" s="6">
        <v>220000</v>
      </c>
      <c r="F19" s="6" t="s">
        <v>379</v>
      </c>
    </row>
    <row r="20" spans="1:6" ht="15" customHeight="1" x14ac:dyDescent="0.2">
      <c r="A20" s="6" t="s">
        <v>380</v>
      </c>
      <c r="B20" s="6" t="s">
        <v>272</v>
      </c>
      <c r="C20" s="6" t="s">
        <v>381</v>
      </c>
      <c r="D20" s="6" t="s">
        <v>334</v>
      </c>
      <c r="E20" s="6">
        <v>150000</v>
      </c>
      <c r="F20" s="6"/>
    </row>
    <row r="21" spans="1:6" ht="15" customHeight="1" x14ac:dyDescent="0.2">
      <c r="A21" s="6" t="s">
        <v>382</v>
      </c>
      <c r="B21" s="6" t="s">
        <v>272</v>
      </c>
      <c r="C21" s="6" t="s">
        <v>383</v>
      </c>
      <c r="D21" s="6" t="s">
        <v>369</v>
      </c>
      <c r="E21" s="6">
        <v>130000</v>
      </c>
      <c r="F21" s="6"/>
    </row>
    <row r="22" spans="1:6" ht="15" customHeight="1" x14ac:dyDescent="0.2">
      <c r="A22" s="6" t="s">
        <v>384</v>
      </c>
      <c r="B22" s="6" t="s">
        <v>272</v>
      </c>
      <c r="C22" s="6" t="s">
        <v>385</v>
      </c>
      <c r="D22" s="6" t="s">
        <v>334</v>
      </c>
      <c r="E22" s="6">
        <v>90000</v>
      </c>
      <c r="F22" s="6"/>
    </row>
    <row r="23" spans="1:6" ht="15" customHeight="1" x14ac:dyDescent="0.2">
      <c r="A23" s="6" t="s">
        <v>386</v>
      </c>
      <c r="B23" s="6" t="s">
        <v>272</v>
      </c>
      <c r="C23" s="6" t="s">
        <v>387</v>
      </c>
      <c r="D23" s="6" t="s">
        <v>369</v>
      </c>
      <c r="E23" s="6">
        <v>200000</v>
      </c>
      <c r="F23" s="6"/>
    </row>
    <row r="24" spans="1:6" ht="15" customHeight="1" x14ac:dyDescent="0.2">
      <c r="A24" s="6" t="s">
        <v>388</v>
      </c>
      <c r="B24" s="6" t="s">
        <v>273</v>
      </c>
      <c r="C24" s="6" t="s">
        <v>389</v>
      </c>
      <c r="D24" s="6" t="s">
        <v>341</v>
      </c>
      <c r="E24" s="6">
        <v>40000</v>
      </c>
      <c r="F24" s="6"/>
    </row>
    <row r="25" spans="1:6" ht="15" customHeight="1" x14ac:dyDescent="0.2">
      <c r="A25" s="6" t="s">
        <v>390</v>
      </c>
      <c r="B25" s="6" t="s">
        <v>273</v>
      </c>
      <c r="C25" s="6" t="s">
        <v>391</v>
      </c>
      <c r="D25" s="6" t="s">
        <v>334</v>
      </c>
      <c r="E25" s="6">
        <v>80000</v>
      </c>
      <c r="F25" s="6"/>
    </row>
    <row r="26" spans="1:6" ht="15" customHeight="1" x14ac:dyDescent="0.2">
      <c r="A26" s="6" t="s">
        <v>392</v>
      </c>
      <c r="B26" s="6" t="s">
        <v>273</v>
      </c>
      <c r="C26" s="6" t="s">
        <v>393</v>
      </c>
      <c r="D26" s="6" t="s">
        <v>351</v>
      </c>
      <c r="E26" s="6">
        <v>50000</v>
      </c>
      <c r="F26" s="6"/>
    </row>
    <row r="27" spans="1:6" ht="15" customHeight="1" x14ac:dyDescent="0.2">
      <c r="A27" s="6" t="s">
        <v>394</v>
      </c>
      <c r="B27" s="6" t="s">
        <v>286</v>
      </c>
      <c r="C27" s="6" t="s">
        <v>395</v>
      </c>
      <c r="D27" s="6" t="s">
        <v>334</v>
      </c>
      <c r="E27" s="6">
        <v>450000</v>
      </c>
      <c r="F27" s="6" t="s">
        <v>396</v>
      </c>
    </row>
    <row r="28" spans="1:6" ht="15" customHeight="1" x14ac:dyDescent="0.2">
      <c r="A28" s="6" t="s">
        <v>397</v>
      </c>
      <c r="B28" s="6" t="s">
        <v>286</v>
      </c>
      <c r="C28" s="6" t="s">
        <v>398</v>
      </c>
      <c r="D28" s="6" t="s">
        <v>341</v>
      </c>
      <c r="E28" s="6">
        <v>15000</v>
      </c>
      <c r="F28" s="6" t="s">
        <v>360</v>
      </c>
    </row>
    <row r="29" spans="1:6" ht="15" customHeight="1" x14ac:dyDescent="0.2">
      <c r="A29" s="6" t="s">
        <v>399</v>
      </c>
      <c r="B29" s="6" t="s">
        <v>286</v>
      </c>
      <c r="C29" s="6" t="s">
        <v>400</v>
      </c>
      <c r="D29" s="6" t="s">
        <v>369</v>
      </c>
      <c r="E29" s="6">
        <v>1200000</v>
      </c>
      <c r="F29" s="6" t="s">
        <v>401</v>
      </c>
    </row>
    <row r="30" spans="1:6" ht="15" customHeight="1" x14ac:dyDescent="0.2">
      <c r="A30" s="6" t="s">
        <v>402</v>
      </c>
      <c r="B30" s="6" t="s">
        <v>286</v>
      </c>
      <c r="C30" s="6" t="s">
        <v>403</v>
      </c>
      <c r="D30" s="6" t="s">
        <v>338</v>
      </c>
      <c r="E30" s="6">
        <v>250000</v>
      </c>
      <c r="F30" s="6"/>
    </row>
    <row r="31" spans="1:6" ht="15" customHeight="1" x14ac:dyDescent="0.2">
      <c r="A31" s="6" t="s">
        <v>404</v>
      </c>
      <c r="B31" s="6" t="s">
        <v>286</v>
      </c>
      <c r="C31" s="6" t="s">
        <v>405</v>
      </c>
      <c r="D31" s="6" t="s">
        <v>341</v>
      </c>
      <c r="E31" s="6">
        <v>100000</v>
      </c>
      <c r="F31" s="6"/>
    </row>
    <row r="32" spans="1:6" ht="15" customHeight="1" x14ac:dyDescent="0.2">
      <c r="A32" s="6" t="s">
        <v>406</v>
      </c>
      <c r="B32" s="6" t="s">
        <v>286</v>
      </c>
      <c r="C32" s="6" t="s">
        <v>407</v>
      </c>
      <c r="D32" s="6" t="s">
        <v>341</v>
      </c>
      <c r="E32" s="6">
        <v>400000</v>
      </c>
      <c r="F32" s="6" t="s">
        <v>408</v>
      </c>
    </row>
    <row r="33" spans="1:6" ht="15" customHeight="1" x14ac:dyDescent="0.2">
      <c r="A33" s="6" t="s">
        <v>409</v>
      </c>
      <c r="B33" s="6" t="s">
        <v>286</v>
      </c>
      <c r="C33" s="6" t="s">
        <v>410</v>
      </c>
      <c r="D33" s="6" t="s">
        <v>369</v>
      </c>
      <c r="E33" s="6">
        <v>260000</v>
      </c>
      <c r="F33" s="6"/>
    </row>
    <row r="34" spans="1:6" ht="15" customHeight="1" x14ac:dyDescent="0.2">
      <c r="A34" s="6" t="s">
        <v>411</v>
      </c>
      <c r="B34" s="6" t="s">
        <v>286</v>
      </c>
      <c r="C34" s="6" t="s">
        <v>412</v>
      </c>
      <c r="D34" s="6" t="s">
        <v>369</v>
      </c>
      <c r="E34" s="6">
        <v>450000</v>
      </c>
      <c r="F34" s="6"/>
    </row>
    <row r="35" spans="1:6" ht="15" customHeight="1" x14ac:dyDescent="0.2">
      <c r="A35" s="6" t="s">
        <v>413</v>
      </c>
      <c r="B35" s="6" t="s">
        <v>286</v>
      </c>
      <c r="C35" s="6" t="s">
        <v>414</v>
      </c>
      <c r="D35" s="6" t="s">
        <v>351</v>
      </c>
      <c r="E35" s="6">
        <v>420000</v>
      </c>
      <c r="F35" s="6" t="s">
        <v>415</v>
      </c>
    </row>
    <row r="36" spans="1:6" ht="15" customHeight="1" x14ac:dyDescent="0.2">
      <c r="A36" s="6" t="s">
        <v>416</v>
      </c>
      <c r="B36" s="6" t="s">
        <v>286</v>
      </c>
      <c r="C36" s="6" t="s">
        <v>417</v>
      </c>
      <c r="D36" s="6" t="s">
        <v>369</v>
      </c>
      <c r="E36" s="6">
        <v>1100000</v>
      </c>
      <c r="F36" s="6" t="s">
        <v>418</v>
      </c>
    </row>
    <row r="37" spans="1:6" ht="15" customHeight="1" x14ac:dyDescent="0.2">
      <c r="A37" s="6" t="s">
        <v>419</v>
      </c>
      <c r="B37" s="6" t="s">
        <v>286</v>
      </c>
      <c r="C37" s="6" t="s">
        <v>420</v>
      </c>
      <c r="D37" s="6" t="s">
        <v>351</v>
      </c>
      <c r="E37" s="6">
        <v>100000</v>
      </c>
      <c r="F37" s="6"/>
    </row>
    <row r="38" spans="1:6" ht="15" customHeight="1" x14ac:dyDescent="0.2">
      <c r="A38" s="6" t="s">
        <v>421</v>
      </c>
      <c r="B38" s="6" t="s">
        <v>287</v>
      </c>
      <c r="C38" s="6" t="s">
        <v>422</v>
      </c>
      <c r="D38" s="6" t="s">
        <v>334</v>
      </c>
      <c r="E38" s="6">
        <v>80000</v>
      </c>
      <c r="F38" s="6"/>
    </row>
    <row r="39" spans="1:6" ht="15" customHeight="1" x14ac:dyDescent="0.2">
      <c r="A39" s="6" t="s">
        <v>423</v>
      </c>
      <c r="B39" s="6" t="s">
        <v>287</v>
      </c>
      <c r="C39" s="6" t="s">
        <v>424</v>
      </c>
      <c r="D39" s="6" t="s">
        <v>369</v>
      </c>
      <c r="E39" s="6">
        <v>120000</v>
      </c>
      <c r="F39" s="6"/>
    </row>
    <row r="40" spans="1:6" ht="15" customHeight="1" x14ac:dyDescent="0.2">
      <c r="A40" s="6" t="s">
        <v>425</v>
      </c>
      <c r="B40" s="6" t="s">
        <v>287</v>
      </c>
      <c r="C40" s="6" t="s">
        <v>426</v>
      </c>
      <c r="D40" s="6" t="s">
        <v>369</v>
      </c>
      <c r="E40" s="6">
        <v>90000</v>
      </c>
      <c r="F40" s="6"/>
    </row>
    <row r="41" spans="1:6" ht="15" customHeight="1" x14ac:dyDescent="0.2">
      <c r="A41" s="6" t="s">
        <v>427</v>
      </c>
      <c r="B41" s="6" t="s">
        <v>287</v>
      </c>
      <c r="C41" s="6" t="s">
        <v>428</v>
      </c>
      <c r="D41" s="6" t="s">
        <v>369</v>
      </c>
      <c r="E41" s="6">
        <v>100000</v>
      </c>
      <c r="F41" s="6"/>
    </row>
    <row r="42" spans="1:6" ht="15" customHeight="1" x14ac:dyDescent="0.2">
      <c r="A42" s="6" t="s">
        <v>429</v>
      </c>
      <c r="B42" s="6" t="s">
        <v>288</v>
      </c>
      <c r="C42" s="6" t="s">
        <v>430</v>
      </c>
      <c r="D42" s="6" t="s">
        <v>334</v>
      </c>
      <c r="E42" s="6">
        <v>40000</v>
      </c>
      <c r="F42" s="6"/>
    </row>
    <row r="43" spans="1:6" ht="15" customHeight="1" x14ac:dyDescent="0.2">
      <c r="A43" s="6" t="s">
        <v>431</v>
      </c>
      <c r="B43" s="6" t="s">
        <v>288</v>
      </c>
      <c r="C43" s="6" t="s">
        <v>432</v>
      </c>
      <c r="D43" s="6" t="s">
        <v>369</v>
      </c>
      <c r="E43" s="6">
        <v>55000</v>
      </c>
      <c r="F43" s="6"/>
    </row>
    <row r="44" spans="1:6" ht="15" customHeight="1" x14ac:dyDescent="0.2">
      <c r="A44" s="6" t="s">
        <v>433</v>
      </c>
      <c r="B44" s="6" t="s">
        <v>298</v>
      </c>
      <c r="C44" s="6" t="s">
        <v>434</v>
      </c>
      <c r="D44" s="6" t="s">
        <v>334</v>
      </c>
      <c r="E44" s="6">
        <v>80000</v>
      </c>
      <c r="F44" s="6" t="s">
        <v>435</v>
      </c>
    </row>
    <row r="45" spans="1:6" ht="15" customHeight="1" x14ac:dyDescent="0.2">
      <c r="A45" s="6" t="s">
        <v>436</v>
      </c>
      <c r="B45" s="6" t="s">
        <v>298</v>
      </c>
      <c r="C45" s="6" t="s">
        <v>437</v>
      </c>
      <c r="D45" s="6" t="s">
        <v>334</v>
      </c>
      <c r="E45" s="6">
        <v>40000</v>
      </c>
      <c r="F45" s="6" t="s">
        <v>396</v>
      </c>
    </row>
    <row r="46" spans="1:6" ht="15" customHeight="1" x14ac:dyDescent="0.2">
      <c r="A46" s="6" t="s">
        <v>438</v>
      </c>
      <c r="B46" s="6" t="s">
        <v>298</v>
      </c>
      <c r="C46" s="6" t="s">
        <v>439</v>
      </c>
      <c r="D46" s="6" t="s">
        <v>341</v>
      </c>
      <c r="E46" s="6">
        <v>50000</v>
      </c>
      <c r="F46" s="6"/>
    </row>
    <row r="47" spans="1:6" ht="15" customHeight="1" x14ac:dyDescent="0.2">
      <c r="A47" s="6" t="s">
        <v>440</v>
      </c>
      <c r="B47" s="6" t="s">
        <v>298</v>
      </c>
      <c r="C47" s="6" t="s">
        <v>441</v>
      </c>
      <c r="D47" s="6" t="s">
        <v>334</v>
      </c>
      <c r="E47" s="6">
        <v>60000</v>
      </c>
      <c r="F47" s="6"/>
    </row>
    <row r="48" spans="1:6" ht="15" customHeight="1" x14ac:dyDescent="0.2">
      <c r="A48" s="6" t="s">
        <v>442</v>
      </c>
      <c r="B48" s="6" t="s">
        <v>298</v>
      </c>
      <c r="C48" s="6" t="s">
        <v>443</v>
      </c>
      <c r="D48" s="6" t="s">
        <v>369</v>
      </c>
      <c r="E48" s="6">
        <v>200000</v>
      </c>
      <c r="F48" s="6"/>
    </row>
    <row r="49" spans="1:6" ht="15" customHeight="1" x14ac:dyDescent="0.2">
      <c r="A49" s="6" t="s">
        <v>444</v>
      </c>
      <c r="B49" s="6" t="s">
        <v>298</v>
      </c>
      <c r="C49" s="6" t="s">
        <v>445</v>
      </c>
      <c r="D49" s="6" t="s">
        <v>369</v>
      </c>
      <c r="E49" s="6">
        <v>250000</v>
      </c>
      <c r="F49" s="6" t="s">
        <v>370</v>
      </c>
    </row>
    <row r="50" spans="1:6" ht="15" customHeight="1" x14ac:dyDescent="0.2">
      <c r="A50" s="6" t="s">
        <v>446</v>
      </c>
      <c r="B50" s="6" t="s">
        <v>298</v>
      </c>
      <c r="C50" s="6" t="s">
        <v>447</v>
      </c>
      <c r="D50" s="6" t="s">
        <v>369</v>
      </c>
      <c r="E50" s="6">
        <v>180000</v>
      </c>
      <c r="F50" s="6"/>
    </row>
    <row r="51" spans="1:6" ht="15" customHeight="1" x14ac:dyDescent="0.2">
      <c r="A51" s="6" t="s">
        <v>448</v>
      </c>
      <c r="B51" s="6" t="s">
        <v>298</v>
      </c>
      <c r="C51" s="6" t="s">
        <v>449</v>
      </c>
      <c r="D51" s="6" t="s">
        <v>334</v>
      </c>
      <c r="E51" s="6">
        <v>120000</v>
      </c>
      <c r="F51" s="6"/>
    </row>
    <row r="52" spans="1:6" ht="15" customHeight="1" x14ac:dyDescent="0.2">
      <c r="A52" s="6" t="s">
        <v>450</v>
      </c>
      <c r="B52" s="6" t="s">
        <v>298</v>
      </c>
      <c r="C52" s="6" t="s">
        <v>451</v>
      </c>
      <c r="D52" s="6" t="s">
        <v>334</v>
      </c>
      <c r="E52" s="6">
        <v>90000</v>
      </c>
      <c r="F52" s="6"/>
    </row>
    <row r="53" spans="1:6" ht="15" customHeight="1" x14ac:dyDescent="0.2">
      <c r="A53" s="6" t="s">
        <v>452</v>
      </c>
      <c r="B53" s="6" t="s">
        <v>298</v>
      </c>
      <c r="C53" s="6" t="s">
        <v>453</v>
      </c>
      <c r="D53" s="6" t="s">
        <v>369</v>
      </c>
      <c r="E53" s="6">
        <v>130000</v>
      </c>
      <c r="F53" s="6"/>
    </row>
    <row r="54" spans="1:6" ht="15" customHeight="1" x14ac:dyDescent="0.2">
      <c r="A54" s="6" t="s">
        <v>454</v>
      </c>
      <c r="B54" s="6" t="s">
        <v>298</v>
      </c>
      <c r="C54" s="6" t="s">
        <v>455</v>
      </c>
      <c r="D54" s="6" t="s">
        <v>351</v>
      </c>
      <c r="E54" s="6">
        <v>100000</v>
      </c>
      <c r="F54" s="6"/>
    </row>
    <row r="55" spans="1:6" ht="15" customHeight="1" x14ac:dyDescent="0.2">
      <c r="A55" s="6" t="s">
        <v>456</v>
      </c>
      <c r="B55" s="6" t="s">
        <v>298</v>
      </c>
      <c r="C55" s="6" t="s">
        <v>457</v>
      </c>
      <c r="D55" s="6" t="s">
        <v>351</v>
      </c>
      <c r="E55" s="6">
        <v>90000</v>
      </c>
      <c r="F55" s="6"/>
    </row>
    <row r="56" spans="1:6" ht="15" customHeight="1" x14ac:dyDescent="0.2">
      <c r="A56" s="6" t="s">
        <v>458</v>
      </c>
      <c r="B56" s="6" t="s">
        <v>299</v>
      </c>
      <c r="C56" s="6" t="s">
        <v>459</v>
      </c>
      <c r="D56" s="6" t="s">
        <v>341</v>
      </c>
      <c r="E56" s="6">
        <v>60000</v>
      </c>
      <c r="F56" s="6"/>
    </row>
    <row r="57" spans="1:6" ht="15" customHeight="1" x14ac:dyDescent="0.2">
      <c r="A57" s="6" t="s">
        <v>460</v>
      </c>
      <c r="B57" s="6" t="s">
        <v>299</v>
      </c>
      <c r="C57" s="6" t="s">
        <v>461</v>
      </c>
      <c r="D57" s="6" t="s">
        <v>334</v>
      </c>
      <c r="E57" s="6">
        <v>45000</v>
      </c>
      <c r="F57" s="6"/>
    </row>
    <row r="58" spans="1:6" ht="15" customHeight="1" x14ac:dyDescent="0.2">
      <c r="A58" s="6" t="s">
        <v>462</v>
      </c>
      <c r="B58" s="6" t="s">
        <v>299</v>
      </c>
      <c r="C58" s="6" t="s">
        <v>463</v>
      </c>
      <c r="D58" s="6" t="s">
        <v>369</v>
      </c>
      <c r="E58" s="6">
        <v>100000</v>
      </c>
      <c r="F58" s="6"/>
    </row>
    <row r="59" spans="1:6" ht="15" customHeight="1" x14ac:dyDescent="0.2">
      <c r="A59" s="6" t="s">
        <v>464</v>
      </c>
      <c r="B59" s="6" t="s">
        <v>299</v>
      </c>
      <c r="C59" s="6" t="s">
        <v>465</v>
      </c>
      <c r="D59" s="6" t="s">
        <v>334</v>
      </c>
      <c r="E59" s="6">
        <v>70000</v>
      </c>
      <c r="F59" s="6"/>
    </row>
    <row r="60" spans="1:6" ht="15" customHeight="1" x14ac:dyDescent="0.2">
      <c r="A60" s="6" t="s">
        <v>466</v>
      </c>
      <c r="B60" s="6" t="s">
        <v>299</v>
      </c>
      <c r="C60" s="6" t="s">
        <v>467</v>
      </c>
      <c r="D60" s="6" t="s">
        <v>369</v>
      </c>
      <c r="E60" s="6">
        <v>90000</v>
      </c>
      <c r="F60" s="6"/>
    </row>
    <row r="61" spans="1:6" ht="15" customHeight="1" x14ac:dyDescent="0.2">
      <c r="A61" s="6" t="s">
        <v>468</v>
      </c>
      <c r="B61" s="6" t="s">
        <v>299</v>
      </c>
      <c r="C61" s="6" t="s">
        <v>469</v>
      </c>
      <c r="D61" s="6" t="s">
        <v>369</v>
      </c>
      <c r="E61" s="6">
        <v>110000</v>
      </c>
      <c r="F61" s="6"/>
    </row>
    <row r="62" spans="1:6" ht="15" customHeight="1" x14ac:dyDescent="0.2">
      <c r="A62" s="6" t="s">
        <v>470</v>
      </c>
      <c r="B62" s="6" t="s">
        <v>310</v>
      </c>
      <c r="C62" s="6" t="s">
        <v>398</v>
      </c>
      <c r="D62" s="6" t="s">
        <v>341</v>
      </c>
      <c r="E62" s="6">
        <v>40000</v>
      </c>
      <c r="F62" s="6" t="s">
        <v>360</v>
      </c>
    </row>
    <row r="63" spans="1:6" ht="15" customHeight="1" x14ac:dyDescent="0.2">
      <c r="A63" s="6" t="s">
        <v>471</v>
      </c>
      <c r="B63" s="6" t="s">
        <v>310</v>
      </c>
      <c r="C63" s="6" t="s">
        <v>472</v>
      </c>
      <c r="D63" s="6" t="s">
        <v>369</v>
      </c>
      <c r="E63" s="6">
        <v>150000</v>
      </c>
      <c r="F63" s="6" t="s">
        <v>473</v>
      </c>
    </row>
    <row r="64" spans="1:6" ht="15" customHeight="1" x14ac:dyDescent="0.2">
      <c r="A64" s="6" t="s">
        <v>474</v>
      </c>
      <c r="B64" s="6" t="s">
        <v>310</v>
      </c>
      <c r="C64" s="6" t="s">
        <v>475</v>
      </c>
      <c r="D64" s="6" t="s">
        <v>334</v>
      </c>
      <c r="E64" s="6">
        <v>30000</v>
      </c>
      <c r="F64" s="6" t="s">
        <v>476</v>
      </c>
    </row>
    <row r="65" spans="1:6" ht="15" customHeight="1" x14ac:dyDescent="0.2">
      <c r="A65" s="6" t="s">
        <v>477</v>
      </c>
      <c r="B65" s="6" t="s">
        <v>310</v>
      </c>
      <c r="C65" s="6" t="s">
        <v>478</v>
      </c>
      <c r="D65" s="6" t="s">
        <v>334</v>
      </c>
      <c r="E65" s="6">
        <v>50000</v>
      </c>
      <c r="F65" s="6"/>
    </row>
    <row r="66" spans="1:6" ht="15" customHeight="1" x14ac:dyDescent="0.2">
      <c r="A66" s="6" t="s">
        <v>479</v>
      </c>
      <c r="B66" s="6" t="s">
        <v>310</v>
      </c>
      <c r="C66" s="6" t="s">
        <v>480</v>
      </c>
      <c r="D66" s="6" t="s">
        <v>334</v>
      </c>
      <c r="E66" s="6">
        <v>60000</v>
      </c>
      <c r="F66" s="6"/>
    </row>
    <row r="67" spans="1:6" ht="15" customHeight="1" x14ac:dyDescent="0.2">
      <c r="A67" s="6" t="s">
        <v>481</v>
      </c>
      <c r="B67" s="6" t="s">
        <v>310</v>
      </c>
      <c r="C67" s="6" t="s">
        <v>482</v>
      </c>
      <c r="D67" s="6" t="s">
        <v>334</v>
      </c>
      <c r="E67" s="6">
        <v>40000</v>
      </c>
      <c r="F67" s="6" t="s">
        <v>483</v>
      </c>
    </row>
    <row r="68" spans="1:6" ht="15" customHeight="1" x14ac:dyDescent="0.2">
      <c r="A68" s="6" t="s">
        <v>484</v>
      </c>
      <c r="B68" s="6" t="s">
        <v>310</v>
      </c>
      <c r="C68" s="6" t="s">
        <v>485</v>
      </c>
      <c r="D68" s="6" t="s">
        <v>338</v>
      </c>
      <c r="E68" s="6">
        <v>70000</v>
      </c>
      <c r="F68" s="6"/>
    </row>
    <row r="69" spans="1:6" ht="15" customHeight="1" x14ac:dyDescent="0.2">
      <c r="A69" s="6" t="s">
        <v>486</v>
      </c>
      <c r="B69" s="6" t="s">
        <v>310</v>
      </c>
      <c r="C69" s="6" t="s">
        <v>487</v>
      </c>
      <c r="D69" s="6" t="s">
        <v>338</v>
      </c>
      <c r="E69" s="6">
        <v>120000</v>
      </c>
      <c r="F69" s="6" t="s">
        <v>415</v>
      </c>
    </row>
    <row r="70" spans="1:6" ht="15" customHeight="1" x14ac:dyDescent="0.2">
      <c r="A70" s="6" t="s">
        <v>488</v>
      </c>
      <c r="B70" s="6" t="s">
        <v>310</v>
      </c>
      <c r="C70" s="6" t="s">
        <v>489</v>
      </c>
      <c r="D70" s="6" t="s">
        <v>334</v>
      </c>
      <c r="E70" s="6">
        <v>15000</v>
      </c>
      <c r="F70" s="6" t="s">
        <v>490</v>
      </c>
    </row>
    <row r="71" spans="1:6" ht="15" customHeight="1" x14ac:dyDescent="0.2">
      <c r="A71" s="6" t="s">
        <v>491</v>
      </c>
      <c r="B71" s="6" t="s">
        <v>310</v>
      </c>
      <c r="C71" s="6" t="s">
        <v>492</v>
      </c>
      <c r="D71" s="6" t="s">
        <v>334</v>
      </c>
      <c r="E71" s="6">
        <v>20000</v>
      </c>
      <c r="F71" s="6"/>
    </row>
    <row r="72" spans="1:6" ht="15" customHeight="1" x14ac:dyDescent="0.2">
      <c r="A72" s="6" t="s">
        <v>493</v>
      </c>
      <c r="B72" s="6" t="s">
        <v>310</v>
      </c>
      <c r="C72" s="6" t="s">
        <v>494</v>
      </c>
      <c r="D72" s="6" t="s">
        <v>369</v>
      </c>
      <c r="E72" s="6">
        <v>200000</v>
      </c>
      <c r="F72" s="6"/>
    </row>
    <row r="73" spans="1:6" ht="15" customHeight="1" x14ac:dyDescent="0.2">
      <c r="A73" s="6" t="s">
        <v>495</v>
      </c>
      <c r="B73" s="6" t="s">
        <v>310</v>
      </c>
      <c r="C73" s="6" t="s">
        <v>496</v>
      </c>
      <c r="D73" s="6" t="s">
        <v>369</v>
      </c>
      <c r="E73" s="6">
        <v>400000</v>
      </c>
      <c r="F73" s="6" t="s">
        <v>370</v>
      </c>
    </row>
    <row r="74" spans="1:6" ht="15" customHeight="1" x14ac:dyDescent="0.2">
      <c r="A74" s="6" t="s">
        <v>497</v>
      </c>
      <c r="B74" s="6" t="s">
        <v>310</v>
      </c>
      <c r="C74" s="6" t="s">
        <v>498</v>
      </c>
      <c r="D74" s="6" t="s">
        <v>369</v>
      </c>
      <c r="E74" s="6">
        <v>100000</v>
      </c>
      <c r="F74" s="6"/>
    </row>
    <row r="75" spans="1:6" ht="15" customHeight="1" x14ac:dyDescent="0.2">
      <c r="A75" s="6" t="s">
        <v>499</v>
      </c>
      <c r="B75" s="6" t="s">
        <v>310</v>
      </c>
      <c r="C75" s="6" t="s">
        <v>500</v>
      </c>
      <c r="D75" s="6" t="s">
        <v>338</v>
      </c>
      <c r="E75" s="6">
        <v>130000</v>
      </c>
      <c r="F75" s="6"/>
    </row>
    <row r="76" spans="1:6" ht="15" customHeight="1" x14ac:dyDescent="0.2">
      <c r="A76" s="6" t="s">
        <v>501</v>
      </c>
      <c r="B76" s="6" t="s">
        <v>310</v>
      </c>
      <c r="C76" s="6" t="s">
        <v>502</v>
      </c>
      <c r="D76" s="6" t="s">
        <v>338</v>
      </c>
      <c r="E76" s="6">
        <v>90000</v>
      </c>
      <c r="F76" s="6"/>
    </row>
    <row r="77" spans="1:6" ht="15" customHeight="1" x14ac:dyDescent="0.2">
      <c r="A77" s="6" t="s">
        <v>503</v>
      </c>
      <c r="B77" s="6" t="s">
        <v>311</v>
      </c>
      <c r="C77" s="6" t="s">
        <v>504</v>
      </c>
      <c r="D77" s="6" t="s">
        <v>369</v>
      </c>
      <c r="E77" s="6">
        <v>300000</v>
      </c>
      <c r="F77" s="6"/>
    </row>
    <row r="78" spans="1:6" ht="15" customHeight="1" x14ac:dyDescent="0.2">
      <c r="A78" s="6" t="s">
        <v>505</v>
      </c>
      <c r="B78" s="6" t="s">
        <v>311</v>
      </c>
      <c r="C78" s="6" t="s">
        <v>506</v>
      </c>
      <c r="D78" s="6" t="s">
        <v>369</v>
      </c>
      <c r="E78" s="6">
        <v>350000</v>
      </c>
      <c r="F78" s="6"/>
    </row>
    <row r="79" spans="1:6" ht="15" customHeight="1" x14ac:dyDescent="0.2">
      <c r="A79" s="6" t="s">
        <v>507</v>
      </c>
      <c r="B79" s="6" t="s">
        <v>311</v>
      </c>
      <c r="C79" s="6" t="s">
        <v>508</v>
      </c>
      <c r="D79" s="6" t="s">
        <v>369</v>
      </c>
      <c r="E79" s="6">
        <v>250000</v>
      </c>
      <c r="F79" s="6"/>
    </row>
    <row r="80" spans="1:6" ht="15" customHeight="1" x14ac:dyDescent="0.2">
      <c r="A80" s="6" t="s">
        <v>509</v>
      </c>
      <c r="B80" s="6" t="s">
        <v>317</v>
      </c>
      <c r="C80" s="6" t="s">
        <v>510</v>
      </c>
      <c r="D80" s="6" t="s">
        <v>338</v>
      </c>
      <c r="E80" s="6">
        <v>60000</v>
      </c>
      <c r="F80" s="6"/>
    </row>
    <row r="81" spans="1:6" ht="15" customHeight="1" x14ac:dyDescent="0.2">
      <c r="A81" s="6" t="s">
        <v>511</v>
      </c>
      <c r="B81" s="6" t="s">
        <v>317</v>
      </c>
      <c r="C81" s="6" t="s">
        <v>512</v>
      </c>
      <c r="D81" s="6" t="s">
        <v>369</v>
      </c>
      <c r="E81" s="6">
        <v>100000</v>
      </c>
      <c r="F81" s="6"/>
    </row>
    <row r="82" spans="1:6" ht="15" customHeight="1" x14ac:dyDescent="0.2">
      <c r="A82" s="6" t="s">
        <v>513</v>
      </c>
      <c r="B82" s="6" t="s">
        <v>323</v>
      </c>
      <c r="C82" s="6" t="s">
        <v>514</v>
      </c>
      <c r="D82" s="6" t="s">
        <v>341</v>
      </c>
      <c r="E82" s="6">
        <v>15000</v>
      </c>
      <c r="F82" s="6" t="s">
        <v>515</v>
      </c>
    </row>
    <row r="83" spans="1:6" ht="15" customHeight="1" x14ac:dyDescent="0.2">
      <c r="A83" s="6" t="s">
        <v>516</v>
      </c>
      <c r="B83" s="6" t="s">
        <v>323</v>
      </c>
      <c r="C83" s="6" t="s">
        <v>517</v>
      </c>
      <c r="D83" s="6" t="s">
        <v>369</v>
      </c>
      <c r="E83" s="6">
        <v>130000</v>
      </c>
      <c r="F83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zoomScaleNormal="100" workbookViewId="0">
      <selection activeCell="B16" sqref="B16"/>
    </sheetView>
  </sheetViews>
  <sheetFormatPr baseColWidth="10" defaultColWidth="8.6640625" defaultRowHeight="15" x14ac:dyDescent="0.2"/>
  <cols>
    <col min="1" max="1" width="10" customWidth="1"/>
    <col min="2" max="2" width="14" customWidth="1"/>
    <col min="3" max="3" width="8" customWidth="1"/>
    <col min="4" max="4" width="25" customWidth="1"/>
    <col min="5" max="5" width="15" customWidth="1"/>
    <col min="6" max="6" width="8" customWidth="1"/>
    <col min="7" max="7" width="15" customWidth="1"/>
    <col min="8" max="8" width="55" customWidth="1"/>
    <col min="9" max="9" width="16" customWidth="1"/>
  </cols>
  <sheetData>
    <row r="1" spans="1:9" ht="26.25" customHeight="1" x14ac:dyDescent="0.2">
      <c r="A1" s="5" t="s">
        <v>518</v>
      </c>
      <c r="B1" s="5" t="s">
        <v>60</v>
      </c>
      <c r="C1" s="5" t="s">
        <v>519</v>
      </c>
      <c r="D1" s="5" t="s">
        <v>520</v>
      </c>
      <c r="E1" s="5" t="s">
        <v>521</v>
      </c>
      <c r="F1" s="5" t="s">
        <v>522</v>
      </c>
      <c r="G1" s="5" t="s">
        <v>523</v>
      </c>
      <c r="H1" s="5" t="s">
        <v>524</v>
      </c>
      <c r="I1" s="5" t="s">
        <v>525</v>
      </c>
    </row>
    <row r="2" spans="1:9" ht="15" customHeight="1" x14ac:dyDescent="0.2">
      <c r="A2" s="6" t="s">
        <v>109</v>
      </c>
      <c r="B2" s="6" t="s">
        <v>72</v>
      </c>
      <c r="C2" s="6">
        <v>1</v>
      </c>
      <c r="D2" s="6" t="s">
        <v>526</v>
      </c>
      <c r="E2" s="6" t="s">
        <v>527</v>
      </c>
      <c r="F2" s="6">
        <v>624</v>
      </c>
      <c r="G2" s="6" t="s">
        <v>528</v>
      </c>
      <c r="H2" s="6" t="s">
        <v>529</v>
      </c>
      <c r="I2" s="6">
        <v>46</v>
      </c>
    </row>
    <row r="3" spans="1:9" ht="15" customHeight="1" x14ac:dyDescent="0.2">
      <c r="A3" s="6" t="s">
        <v>113</v>
      </c>
      <c r="B3" s="6" t="s">
        <v>72</v>
      </c>
      <c r="C3" s="6">
        <v>2</v>
      </c>
      <c r="D3" s="6" t="s">
        <v>530</v>
      </c>
      <c r="E3" s="6" t="s">
        <v>531</v>
      </c>
      <c r="F3" s="6">
        <v>624</v>
      </c>
      <c r="G3" s="6" t="s">
        <v>532</v>
      </c>
      <c r="H3" s="6" t="s">
        <v>533</v>
      </c>
      <c r="I3" s="6">
        <v>43</v>
      </c>
    </row>
    <row r="4" spans="1:9" ht="15" customHeight="1" x14ac:dyDescent="0.2">
      <c r="A4" s="6" t="s">
        <v>120</v>
      </c>
      <c r="B4" s="6" t="s">
        <v>72</v>
      </c>
      <c r="C4" s="6">
        <v>8</v>
      </c>
      <c r="D4" s="6" t="s">
        <v>534</v>
      </c>
      <c r="E4" s="6" t="s">
        <v>535</v>
      </c>
      <c r="F4" s="6">
        <v>624</v>
      </c>
      <c r="G4" s="6" t="s">
        <v>536</v>
      </c>
      <c r="H4" s="6" t="s">
        <v>537</v>
      </c>
      <c r="I4" s="6">
        <v>3</v>
      </c>
    </row>
    <row r="5" spans="1:9" ht="15" customHeight="1" x14ac:dyDescent="0.2">
      <c r="A5" s="6" t="s">
        <v>148</v>
      </c>
      <c r="B5" s="6" t="s">
        <v>83</v>
      </c>
      <c r="C5" s="6">
        <v>3</v>
      </c>
      <c r="D5" s="6" t="s">
        <v>538</v>
      </c>
      <c r="E5" s="6" t="s">
        <v>539</v>
      </c>
      <c r="F5" s="6">
        <v>612</v>
      </c>
      <c r="G5" s="6" t="s">
        <v>540</v>
      </c>
      <c r="H5" s="6" t="s">
        <v>541</v>
      </c>
      <c r="I5" s="6">
        <v>43</v>
      </c>
    </row>
    <row r="6" spans="1:9" ht="15" customHeight="1" x14ac:dyDescent="0.2">
      <c r="A6" s="6" t="s">
        <v>151</v>
      </c>
      <c r="B6" s="6" t="s">
        <v>83</v>
      </c>
      <c r="C6" s="6">
        <v>5</v>
      </c>
      <c r="D6" s="6" t="s">
        <v>542</v>
      </c>
      <c r="E6" s="6" t="s">
        <v>543</v>
      </c>
      <c r="F6" s="6">
        <v>612</v>
      </c>
      <c r="G6" s="6" t="s">
        <v>544</v>
      </c>
      <c r="H6" s="6" t="s">
        <v>545</v>
      </c>
      <c r="I6" s="6">
        <v>34</v>
      </c>
    </row>
    <row r="7" spans="1:9" ht="15" customHeight="1" x14ac:dyDescent="0.2">
      <c r="A7" s="6" t="s">
        <v>153</v>
      </c>
      <c r="B7" s="6" t="s">
        <v>83</v>
      </c>
      <c r="C7" s="6">
        <v>2</v>
      </c>
      <c r="D7" s="6" t="s">
        <v>546</v>
      </c>
      <c r="E7" s="6" t="s">
        <v>547</v>
      </c>
      <c r="F7" s="6">
        <v>612</v>
      </c>
      <c r="G7" s="6" t="s">
        <v>548</v>
      </c>
      <c r="H7" s="6" t="s">
        <v>549</v>
      </c>
      <c r="I7" s="6">
        <v>23</v>
      </c>
    </row>
    <row r="8" spans="1:9" ht="15" customHeight="1" x14ac:dyDescent="0.2">
      <c r="A8" s="6" t="s">
        <v>193</v>
      </c>
      <c r="B8" s="6" t="s">
        <v>94</v>
      </c>
      <c r="C8" s="6">
        <v>2</v>
      </c>
      <c r="D8" s="6" t="s">
        <v>550</v>
      </c>
      <c r="E8" s="6" t="s">
        <v>551</v>
      </c>
      <c r="F8" s="6">
        <v>613</v>
      </c>
      <c r="G8" s="6" t="s">
        <v>540</v>
      </c>
      <c r="H8" s="6" t="s">
        <v>552</v>
      </c>
      <c r="I8" s="6">
        <v>48</v>
      </c>
    </row>
    <row r="9" spans="1:9" ht="15" customHeight="1" x14ac:dyDescent="0.2">
      <c r="A9" s="6" t="s">
        <v>196</v>
      </c>
      <c r="B9" s="6" t="s">
        <v>94</v>
      </c>
      <c r="C9" s="6">
        <v>3</v>
      </c>
      <c r="D9" s="6" t="s">
        <v>553</v>
      </c>
      <c r="E9" s="6" t="s">
        <v>554</v>
      </c>
      <c r="F9" s="6">
        <v>613</v>
      </c>
      <c r="G9" s="6" t="s">
        <v>555</v>
      </c>
      <c r="H9" s="6" t="s">
        <v>556</v>
      </c>
      <c r="I9" s="6">
        <v>38</v>
      </c>
    </row>
    <row r="10" spans="1:9" ht="15" customHeight="1" x14ac:dyDescent="0.2">
      <c r="A10" s="6" t="s">
        <v>200</v>
      </c>
      <c r="B10" s="6" t="s">
        <v>94</v>
      </c>
      <c r="C10" s="6">
        <v>1</v>
      </c>
      <c r="D10" s="6" t="s">
        <v>557</v>
      </c>
      <c r="E10" s="6" t="s">
        <v>558</v>
      </c>
      <c r="F10" s="6">
        <v>613</v>
      </c>
      <c r="G10" s="6" t="s">
        <v>559</v>
      </c>
      <c r="H10" s="6" t="s">
        <v>560</v>
      </c>
      <c r="I10" s="6">
        <v>14</v>
      </c>
    </row>
    <row r="11" spans="1:9" ht="15" customHeight="1" x14ac:dyDescent="0.2">
      <c r="A11" s="6" t="s">
        <v>231</v>
      </c>
      <c r="B11" s="6" t="s">
        <v>99</v>
      </c>
      <c r="C11" s="6">
        <v>1</v>
      </c>
      <c r="D11" s="6" t="s">
        <v>561</v>
      </c>
      <c r="E11" s="6" t="s">
        <v>562</v>
      </c>
      <c r="F11" s="6">
        <v>608</v>
      </c>
      <c r="G11" s="6" t="s">
        <v>540</v>
      </c>
      <c r="H11" s="6" t="s">
        <v>563</v>
      </c>
      <c r="I11" s="6">
        <v>55</v>
      </c>
    </row>
    <row r="12" spans="1:9" ht="15" customHeight="1" x14ac:dyDescent="0.2">
      <c r="A12" s="6" t="s">
        <v>233</v>
      </c>
      <c r="B12" s="6" t="s">
        <v>99</v>
      </c>
      <c r="C12" s="6">
        <v>2</v>
      </c>
      <c r="D12" s="6" t="s">
        <v>564</v>
      </c>
      <c r="E12" s="6" t="s">
        <v>565</v>
      </c>
      <c r="F12" s="6">
        <v>608</v>
      </c>
      <c r="G12" s="6" t="s">
        <v>555</v>
      </c>
      <c r="H12" s="6" t="s">
        <v>566</v>
      </c>
      <c r="I12" s="6">
        <v>25</v>
      </c>
    </row>
    <row r="13" spans="1:9" ht="15" customHeight="1" x14ac:dyDescent="0.2">
      <c r="A13" s="6" t="s">
        <v>236</v>
      </c>
      <c r="B13" s="6" t="s">
        <v>99</v>
      </c>
      <c r="C13" s="6">
        <v>3</v>
      </c>
      <c r="D13" s="6" t="s">
        <v>567</v>
      </c>
      <c r="E13" s="6" t="s">
        <v>568</v>
      </c>
      <c r="F13" s="6">
        <v>608</v>
      </c>
      <c r="G13" s="6" t="s">
        <v>569</v>
      </c>
      <c r="H13" s="6" t="s">
        <v>570</v>
      </c>
      <c r="I13" s="6">
        <v>20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zoomScaleNormal="100" workbookViewId="0"/>
  </sheetViews>
  <sheetFormatPr baseColWidth="10" defaultColWidth="8.6640625" defaultRowHeight="15" x14ac:dyDescent="0.2"/>
  <cols>
    <col min="1" max="1" width="14" customWidth="1"/>
    <col min="2" max="2" width="22" customWidth="1"/>
    <col min="3" max="3" width="14" customWidth="1"/>
    <col min="4" max="4" width="15" customWidth="1"/>
    <col min="5" max="5" width="45" customWidth="1"/>
    <col min="6" max="6" width="30" customWidth="1"/>
    <col min="7" max="8" width="18" customWidth="1"/>
  </cols>
  <sheetData>
    <row r="1" spans="1:8" ht="26.25" customHeight="1" x14ac:dyDescent="0.2">
      <c r="A1" s="5" t="s">
        <v>65</v>
      </c>
      <c r="B1" s="5" t="s">
        <v>66</v>
      </c>
      <c r="C1" s="5" t="s">
        <v>571</v>
      </c>
      <c r="D1" s="5" t="s">
        <v>572</v>
      </c>
      <c r="E1" s="5" t="s">
        <v>573</v>
      </c>
      <c r="F1" s="5" t="s">
        <v>574</v>
      </c>
      <c r="G1" s="5" t="s">
        <v>575</v>
      </c>
      <c r="H1" s="5" t="s">
        <v>576</v>
      </c>
    </row>
    <row r="2" spans="1:8" ht="15" customHeight="1" x14ac:dyDescent="0.2">
      <c r="A2" s="6" t="s">
        <v>77</v>
      </c>
      <c r="B2" s="6" t="s">
        <v>78</v>
      </c>
      <c r="C2" s="6">
        <v>0</v>
      </c>
      <c r="D2" s="6" t="s">
        <v>577</v>
      </c>
      <c r="E2" s="6" t="s">
        <v>578</v>
      </c>
      <c r="F2" s="6" t="s">
        <v>579</v>
      </c>
      <c r="G2" s="6">
        <v>600</v>
      </c>
      <c r="H2" s="6">
        <v>656</v>
      </c>
    </row>
    <row r="3" spans="1:8" ht="23.25" customHeight="1" x14ac:dyDescent="0.2">
      <c r="A3" s="6" t="s">
        <v>88</v>
      </c>
      <c r="B3" s="6" t="s">
        <v>89</v>
      </c>
      <c r="C3" s="6">
        <v>0</v>
      </c>
      <c r="D3" s="6" t="s">
        <v>580</v>
      </c>
      <c r="E3" s="6" t="s">
        <v>581</v>
      </c>
      <c r="F3" s="6" t="s">
        <v>582</v>
      </c>
      <c r="G3" s="6">
        <v>600</v>
      </c>
      <c r="H3" s="6">
        <v>656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3"/>
  <sheetViews>
    <sheetView tabSelected="1" topLeftCell="A15" zoomScaleNormal="100" workbookViewId="0">
      <selection activeCell="B45" sqref="B45"/>
    </sheetView>
  </sheetViews>
  <sheetFormatPr baseColWidth="10" defaultColWidth="8.6640625" defaultRowHeight="15" x14ac:dyDescent="0.2"/>
  <cols>
    <col min="1" max="1" width="40" customWidth="1"/>
    <col min="2" max="2" width="44" customWidth="1"/>
    <col min="3" max="3" width="45" customWidth="1"/>
  </cols>
  <sheetData>
    <row r="1" spans="1:3" ht="17.25" customHeight="1" x14ac:dyDescent="0.2">
      <c r="A1" s="1" t="s">
        <v>583</v>
      </c>
    </row>
    <row r="2" spans="1:3" ht="15" customHeight="1" x14ac:dyDescent="0.2">
      <c r="A2" s="7" t="s">
        <v>584</v>
      </c>
    </row>
    <row r="4" spans="1:3" ht="15" customHeight="1" x14ac:dyDescent="0.2">
      <c r="A4" s="8" t="s">
        <v>585</v>
      </c>
    </row>
    <row r="5" spans="1:3" ht="15" customHeight="1" x14ac:dyDescent="0.2">
      <c r="A5" s="9" t="s">
        <v>586</v>
      </c>
      <c r="B5" s="9" t="s">
        <v>587</v>
      </c>
      <c r="C5" s="9" t="s">
        <v>588</v>
      </c>
    </row>
    <row r="6" spans="1:3" ht="15" customHeight="1" x14ac:dyDescent="0.2">
      <c r="A6" t="s">
        <v>589</v>
      </c>
      <c r="B6" s="10">
        <v>3</v>
      </c>
      <c r="C6" s="7" t="s">
        <v>590</v>
      </c>
    </row>
    <row r="7" spans="1:3" ht="15" customHeight="1" x14ac:dyDescent="0.2">
      <c r="A7" t="s">
        <v>591</v>
      </c>
      <c r="B7" s="10">
        <v>10</v>
      </c>
      <c r="C7" s="7" t="s">
        <v>590</v>
      </c>
    </row>
    <row r="8" spans="1:3" ht="15" customHeight="1" x14ac:dyDescent="0.2">
      <c r="A8" t="s">
        <v>592</v>
      </c>
      <c r="B8" s="10" t="s">
        <v>593</v>
      </c>
      <c r="C8" s="7" t="s">
        <v>590</v>
      </c>
    </row>
    <row r="9" spans="1:3" ht="15" customHeight="1" x14ac:dyDescent="0.2">
      <c r="A9" t="s">
        <v>594</v>
      </c>
      <c r="B9" s="10" t="s">
        <v>595</v>
      </c>
      <c r="C9" s="7" t="s">
        <v>596</v>
      </c>
    </row>
    <row r="10" spans="1:3" ht="15" customHeight="1" x14ac:dyDescent="0.2">
      <c r="A10" t="s">
        <v>597</v>
      </c>
      <c r="B10" s="10" t="s">
        <v>598</v>
      </c>
      <c r="C10" s="7" t="s">
        <v>590</v>
      </c>
    </row>
    <row r="12" spans="1:3" ht="15" customHeight="1" x14ac:dyDescent="0.2">
      <c r="A12" s="8" t="s">
        <v>599</v>
      </c>
    </row>
    <row r="13" spans="1:3" ht="15" customHeight="1" x14ac:dyDescent="0.2">
      <c r="A13" s="5" t="s">
        <v>586</v>
      </c>
      <c r="B13" s="5" t="s">
        <v>587</v>
      </c>
      <c r="C13" s="5" t="s">
        <v>588</v>
      </c>
    </row>
    <row r="14" spans="1:3" ht="15" customHeight="1" x14ac:dyDescent="0.2">
      <c r="A14" t="s">
        <v>600</v>
      </c>
      <c r="B14" s="10" t="s">
        <v>601</v>
      </c>
      <c r="C14" s="7" t="s">
        <v>590</v>
      </c>
    </row>
    <row r="15" spans="1:3" ht="15" customHeight="1" x14ac:dyDescent="0.2">
      <c r="A15" t="s">
        <v>602</v>
      </c>
      <c r="B15" s="10" t="s">
        <v>603</v>
      </c>
      <c r="C15" s="7" t="s">
        <v>604</v>
      </c>
    </row>
    <row r="16" spans="1:3" ht="15" customHeight="1" x14ac:dyDescent="0.2">
      <c r="A16" t="s">
        <v>605</v>
      </c>
      <c r="B16" s="10" t="s">
        <v>606</v>
      </c>
      <c r="C16" s="7" t="s">
        <v>607</v>
      </c>
    </row>
    <row r="18" spans="1:3" ht="15" customHeight="1" x14ac:dyDescent="0.2">
      <c r="A18" s="8" t="s">
        <v>608</v>
      </c>
    </row>
    <row r="19" spans="1:3" ht="15" customHeight="1" x14ac:dyDescent="0.2">
      <c r="A19" s="5" t="s">
        <v>586</v>
      </c>
      <c r="B19" s="5" t="s">
        <v>587</v>
      </c>
      <c r="C19" s="5" t="s">
        <v>588</v>
      </c>
    </row>
    <row r="20" spans="1:3" ht="15" customHeight="1" x14ac:dyDescent="0.2">
      <c r="A20" t="s">
        <v>609</v>
      </c>
      <c r="B20" s="10" t="s">
        <v>610</v>
      </c>
      <c r="C20" s="7" t="s">
        <v>590</v>
      </c>
    </row>
    <row r="21" spans="1:3" ht="15" customHeight="1" x14ac:dyDescent="0.2">
      <c r="A21" t="s">
        <v>611</v>
      </c>
      <c r="B21" s="10" t="s">
        <v>612</v>
      </c>
      <c r="C21" s="7" t="s">
        <v>590</v>
      </c>
    </row>
    <row r="22" spans="1:3" ht="15" customHeight="1" x14ac:dyDescent="0.2">
      <c r="A22" t="s">
        <v>613</v>
      </c>
      <c r="B22" s="10" t="s">
        <v>614</v>
      </c>
      <c r="C22" s="7" t="s">
        <v>615</v>
      </c>
    </row>
    <row r="24" spans="1:3" ht="15" customHeight="1" x14ac:dyDescent="0.2">
      <c r="A24" s="8" t="s">
        <v>616</v>
      </c>
    </row>
    <row r="25" spans="1:3" ht="15" customHeight="1" x14ac:dyDescent="0.2">
      <c r="A25" s="5" t="s">
        <v>586</v>
      </c>
      <c r="B25" s="5" t="s">
        <v>587</v>
      </c>
      <c r="C25" s="5" t="s">
        <v>588</v>
      </c>
    </row>
    <row r="26" spans="1:3" ht="15" customHeight="1" x14ac:dyDescent="0.2">
      <c r="A26" t="s">
        <v>617</v>
      </c>
      <c r="B26" s="10" t="s">
        <v>618</v>
      </c>
      <c r="C26" s="7" t="s">
        <v>590</v>
      </c>
    </row>
    <row r="27" spans="1:3" ht="15" customHeight="1" x14ac:dyDescent="0.2">
      <c r="A27" t="s">
        <v>619</v>
      </c>
      <c r="B27" s="10" t="s">
        <v>620</v>
      </c>
      <c r="C27" s="7" t="s">
        <v>590</v>
      </c>
    </row>
    <row r="28" spans="1:3" ht="15" customHeight="1" x14ac:dyDescent="0.2">
      <c r="A28" t="s">
        <v>621</v>
      </c>
      <c r="B28" s="10" t="s">
        <v>622</v>
      </c>
      <c r="C28" s="7" t="s">
        <v>623</v>
      </c>
    </row>
    <row r="30" spans="1:3" ht="15" customHeight="1" x14ac:dyDescent="0.2">
      <c r="A30" s="8" t="s">
        <v>624</v>
      </c>
    </row>
    <row r="31" spans="1:3" ht="15" customHeight="1" x14ac:dyDescent="0.2">
      <c r="A31" s="5" t="s">
        <v>586</v>
      </c>
      <c r="B31" s="5" t="s">
        <v>587</v>
      </c>
      <c r="C31" s="5" t="s">
        <v>588</v>
      </c>
    </row>
    <row r="32" spans="1:3" ht="15" customHeight="1" x14ac:dyDescent="0.2">
      <c r="A32" t="s">
        <v>625</v>
      </c>
      <c r="B32" s="10">
        <v>3</v>
      </c>
      <c r="C32" s="7" t="s">
        <v>590</v>
      </c>
    </row>
    <row r="33" spans="1:3" ht="15" customHeight="1" x14ac:dyDescent="0.2">
      <c r="A33" t="s">
        <v>626</v>
      </c>
      <c r="B33" s="3">
        <f>B32*4</f>
        <v>12</v>
      </c>
      <c r="C33" s="7" t="s">
        <v>627</v>
      </c>
    </row>
    <row r="34" spans="1:3" ht="15" customHeight="1" x14ac:dyDescent="0.2">
      <c r="A34" t="s">
        <v>628</v>
      </c>
      <c r="B34" s="10">
        <v>3</v>
      </c>
      <c r="C34" s="7" t="s">
        <v>590</v>
      </c>
    </row>
    <row r="35" spans="1:3" ht="15" customHeight="1" x14ac:dyDescent="0.2">
      <c r="A35" t="s">
        <v>629</v>
      </c>
      <c r="B35" s="10" t="s">
        <v>630</v>
      </c>
      <c r="C35" s="7" t="s">
        <v>590</v>
      </c>
    </row>
    <row r="36" spans="1:3" ht="15" customHeight="1" x14ac:dyDescent="0.2">
      <c r="B36" s="10"/>
      <c r="C36" s="7"/>
    </row>
    <row r="37" spans="1:3" ht="15" customHeight="1" x14ac:dyDescent="0.2">
      <c r="A37" s="8" t="s">
        <v>675</v>
      </c>
    </row>
    <row r="38" spans="1:3" ht="15" customHeight="1" x14ac:dyDescent="0.2">
      <c r="A38" s="5" t="s">
        <v>586</v>
      </c>
      <c r="B38" s="5" t="s">
        <v>660</v>
      </c>
      <c r="C38" s="5" t="s">
        <v>588</v>
      </c>
    </row>
    <row r="39" spans="1:3" ht="15" customHeight="1" x14ac:dyDescent="0.2">
      <c r="A39" t="s">
        <v>657</v>
      </c>
      <c r="B39" s="10" t="s">
        <v>659</v>
      </c>
      <c r="C39" s="7" t="s">
        <v>663</v>
      </c>
    </row>
    <row r="40" spans="1:3" ht="15" customHeight="1" x14ac:dyDescent="0.2">
      <c r="A40" t="s">
        <v>658</v>
      </c>
      <c r="B40" s="3" t="str">
        <f>B39</f>
        <v xml:space="preserve">1 voire x selon les profil  segment 1-5 </v>
      </c>
      <c r="C40" s="7" t="s">
        <v>663</v>
      </c>
    </row>
    <row r="41" spans="1:3" ht="15" customHeight="1" x14ac:dyDescent="0.2">
      <c r="A41" t="s">
        <v>674</v>
      </c>
      <c r="B41" s="11" t="s">
        <v>659</v>
      </c>
      <c r="C41" s="7"/>
    </row>
    <row r="42" spans="1:3" ht="15" customHeight="1" x14ac:dyDescent="0.2">
      <c r="A42" t="s">
        <v>673</v>
      </c>
      <c r="B42" s="10" t="str">
        <f>B39</f>
        <v xml:space="preserve">1 voire x selon les profil  segment 1-5 </v>
      </c>
      <c r="C42" s="7" t="s">
        <v>663</v>
      </c>
    </row>
    <row r="43" spans="1:3" ht="15" customHeight="1" x14ac:dyDescent="0.2">
      <c r="A43" t="s">
        <v>661</v>
      </c>
      <c r="B43" s="10" t="s">
        <v>662</v>
      </c>
      <c r="C43" s="7" t="s">
        <v>663</v>
      </c>
    </row>
    <row r="44" spans="1:3" ht="15" customHeight="1" x14ac:dyDescent="0.2">
      <c r="A44" t="s">
        <v>677</v>
      </c>
      <c r="B44" s="10" t="s">
        <v>659</v>
      </c>
      <c r="C44" s="7"/>
    </row>
    <row r="46" spans="1:3" ht="15" customHeight="1" x14ac:dyDescent="0.2">
      <c r="A46" s="8" t="s">
        <v>664</v>
      </c>
    </row>
    <row r="47" spans="1:3" ht="15" customHeight="1" x14ac:dyDescent="0.2">
      <c r="A47" s="5" t="s">
        <v>631</v>
      </c>
      <c r="B47" s="5" t="s">
        <v>588</v>
      </c>
      <c r="C47" s="5" t="s">
        <v>632</v>
      </c>
    </row>
    <row r="48" spans="1:3" ht="15" customHeight="1" x14ac:dyDescent="0.2">
      <c r="A48" t="s">
        <v>633</v>
      </c>
      <c r="B48" t="s">
        <v>634</v>
      </c>
      <c r="C48" t="s">
        <v>635</v>
      </c>
    </row>
    <row r="49" spans="1:3" ht="15" customHeight="1" x14ac:dyDescent="0.2">
      <c r="A49" t="s">
        <v>636</v>
      </c>
      <c r="B49" t="s">
        <v>637</v>
      </c>
      <c r="C49" t="s">
        <v>638</v>
      </c>
    </row>
    <row r="50" spans="1:3" ht="15" customHeight="1" x14ac:dyDescent="0.2">
      <c r="A50" t="s">
        <v>639</v>
      </c>
      <c r="B50" t="s">
        <v>640</v>
      </c>
      <c r="C50" t="s">
        <v>641</v>
      </c>
    </row>
    <row r="51" spans="1:3" ht="15" customHeight="1" x14ac:dyDescent="0.2">
      <c r="A51" t="s">
        <v>642</v>
      </c>
      <c r="B51" t="s">
        <v>643</v>
      </c>
      <c r="C51" t="s">
        <v>644</v>
      </c>
    </row>
    <row r="52" spans="1:3" ht="15" customHeight="1" x14ac:dyDescent="0.2">
      <c r="A52" t="s">
        <v>645</v>
      </c>
      <c r="B52" t="s">
        <v>646</v>
      </c>
      <c r="C52" t="s">
        <v>647</v>
      </c>
    </row>
    <row r="53" spans="1:3" ht="15" customHeight="1" x14ac:dyDescent="0.2">
      <c r="A53" t="s">
        <v>648</v>
      </c>
      <c r="B53" t="s">
        <v>649</v>
      </c>
      <c r="C53" t="s">
        <v>650</v>
      </c>
    </row>
    <row r="54" spans="1:3" ht="15" customHeight="1" x14ac:dyDescent="0.2">
      <c r="A54" t="s">
        <v>651</v>
      </c>
      <c r="B54" t="s">
        <v>652</v>
      </c>
      <c r="C54" t="s">
        <v>653</v>
      </c>
    </row>
    <row r="55" spans="1:3" ht="15" customHeight="1" x14ac:dyDescent="0.2">
      <c r="A55" t="s">
        <v>654</v>
      </c>
      <c r="B55" t="s">
        <v>655</v>
      </c>
      <c r="C55" t="s">
        <v>656</v>
      </c>
    </row>
    <row r="57" spans="1:3" ht="15" customHeight="1" x14ac:dyDescent="0.2">
      <c r="A57" s="8" t="s">
        <v>665</v>
      </c>
    </row>
    <row r="58" spans="1:3" ht="15" customHeight="1" x14ac:dyDescent="0.2">
      <c r="A58" s="5" t="s">
        <v>631</v>
      </c>
      <c r="B58" s="5" t="s">
        <v>588</v>
      </c>
      <c r="C58" s="5" t="s">
        <v>632</v>
      </c>
    </row>
    <row r="59" spans="1:3" ht="15" customHeight="1" x14ac:dyDescent="0.2">
      <c r="A59" t="s">
        <v>666</v>
      </c>
      <c r="B59" t="s">
        <v>676</v>
      </c>
    </row>
    <row r="60" spans="1:3" ht="15" customHeight="1" x14ac:dyDescent="0.2">
      <c r="A60" t="s">
        <v>669</v>
      </c>
      <c r="B60" t="s">
        <v>670</v>
      </c>
      <c r="C60" t="s">
        <v>638</v>
      </c>
    </row>
    <row r="61" spans="1:3" ht="15" customHeight="1" x14ac:dyDescent="0.2">
      <c r="A61" t="s">
        <v>667</v>
      </c>
      <c r="B61" t="s">
        <v>670</v>
      </c>
      <c r="C61" t="s">
        <v>641</v>
      </c>
    </row>
    <row r="62" spans="1:3" ht="15" customHeight="1" x14ac:dyDescent="0.2">
      <c r="A62" t="s">
        <v>668</v>
      </c>
      <c r="B62" t="s">
        <v>670</v>
      </c>
      <c r="C62" t="s">
        <v>644</v>
      </c>
    </row>
    <row r="63" spans="1:3" x14ac:dyDescent="0.2">
      <c r="A63" t="s">
        <v>671</v>
      </c>
      <c r="B63" t="s">
        <v>672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Countries</vt:lpstr>
      <vt:lpstr>Regions</vt:lpstr>
      <vt:lpstr>Cities</vt:lpstr>
      <vt:lpstr>Districts</vt:lpstr>
      <vt:lpstr>Telcos</vt:lpstr>
      <vt:lpstr>Currencies</vt:lpstr>
      <vt:lpstr>Config_Loader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JJ BWANGA</cp:lastModifiedBy>
  <cp:revision>0</cp:revision>
  <dcterms:created xsi:type="dcterms:W3CDTF">2026-07-17T06:01:25Z</dcterms:created>
  <dcterms:modified xsi:type="dcterms:W3CDTF">2026-07-17T10:47:01Z</dcterms:modified>
  <dc:language>en-US</dc:language>
</cp:coreProperties>
</file>